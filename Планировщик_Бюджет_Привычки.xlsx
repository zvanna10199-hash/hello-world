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Бюджет" sheetId="1" state="visible" r:id="rId1"/>
    <sheet name="Журнал операций" sheetId="2" state="visible" r:id="rId2"/>
    <sheet name="Трекер привычек" sheetId="3" state="visible" r:id="rId3"/>
    <sheet name="Планировщик задач" sheetId="4" state="visible" r:id="rId4"/>
    <sheet name="Справочник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.mm.yyyy"/>
    <numFmt numFmtId="165" formatCode="#,##0&quot; ₽&quot;"/>
    <numFmt numFmtId="166" formatCode="#,##0&quot; ₽&quot;;[RED]-#,##0&quot; ₽&quot;"/>
    <numFmt numFmtId="167" formatCode="yyyy-mm-dd"/>
  </numFmts>
  <fonts count="10">
    <font>
      <name val="Calibri"/>
      <family val="2"/>
      <color theme="1"/>
      <sz val="11"/>
      <scheme val="minor"/>
    </font>
    <font>
      <name val="Roboto"/>
      <b val="1"/>
      <color rgb="005B5B5B"/>
      <sz val="16"/>
    </font>
    <font>
      <name val="Roboto"/>
      <b val="1"/>
      <color rgb="005B5B5B"/>
      <sz val="9"/>
    </font>
    <font>
      <name val="Roboto"/>
      <color rgb="005B5B5B"/>
      <sz val="10"/>
    </font>
    <font>
      <name val="Roboto"/>
      <i val="1"/>
      <color rgb="005B5B5B"/>
      <sz val="9"/>
    </font>
    <font>
      <name val="Roboto"/>
      <b val="1"/>
      <color rgb="005B5B5B"/>
      <sz val="10"/>
    </font>
    <font>
      <name val="Roboto"/>
      <b val="1"/>
      <color rgb="005B5B5B"/>
      <sz val="13"/>
    </font>
    <font>
      <name val="Roboto"/>
      <color rgb="005B5B5B"/>
      <sz val="9"/>
    </font>
    <font>
      <name val="Roboto"/>
      <b val="1"/>
      <color rgb="005B5B5B"/>
      <sz val="11"/>
    </font>
    <font>
      <name val="Roboto"/>
      <b val="1"/>
      <color rgb="005B5B5B"/>
      <sz val="18"/>
    </font>
  </fonts>
  <fills count="15">
    <fill>
      <patternFill/>
    </fill>
    <fill>
      <patternFill patternType="gray125"/>
    </fill>
    <fill>
      <patternFill patternType="solid">
        <fgColor rgb="00D9CCE8"/>
      </patternFill>
    </fill>
    <fill>
      <patternFill patternType="solid">
        <fgColor rgb="00EBF3F8"/>
      </patternFill>
    </fill>
    <fill>
      <patternFill patternType="solid">
        <fgColor rgb="00FBF6E3"/>
      </patternFill>
    </fill>
    <fill>
      <patternFill patternType="solid">
        <fgColor rgb="00F7DCE2"/>
      </patternFill>
    </fill>
    <fill>
      <patternFill patternType="solid">
        <fgColor rgb="00D3E6F0"/>
      </patternFill>
    </fill>
    <fill>
      <patternFill patternType="solid">
        <fgColor rgb="00CDE6D0"/>
      </patternFill>
    </fill>
    <fill>
      <patternFill patternType="solid">
        <fgColor rgb="00F6EBC0"/>
      </patternFill>
    </fill>
    <fill>
      <patternFill patternType="solid">
        <fgColor rgb="00FBF7EF"/>
      </patternFill>
    </fill>
    <fill>
      <patternFill patternType="solid">
        <fgColor rgb="00EDEDED"/>
      </patternFill>
    </fill>
    <fill>
      <patternFill patternType="solid">
        <fgColor rgb="00F2B8C2"/>
      </patternFill>
    </fill>
    <fill>
      <patternFill patternType="solid">
        <fgColor rgb="00A9C8DE"/>
      </patternFill>
    </fill>
    <fill>
      <patternFill patternType="solid">
        <fgColor rgb="00E9F4EA"/>
      </patternFill>
    </fill>
    <fill>
      <patternFill patternType="solid">
        <fgColor rgb="00FBEDF1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bottom style="thin">
        <color rgb="00D9D9D9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2" fillId="0" borderId="0" pivotButton="0" quotePrefix="0" xfId="0"/>
    <xf numFmtId="0" fontId="8" fillId="4" borderId="1" applyAlignment="1" pivotButton="0" quotePrefix="0" xfId="0">
      <alignment horizontal="center"/>
    </xf>
    <xf numFmtId="0" fontId="2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2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2" fillId="2" borderId="1" applyAlignment="1" pivotButton="0" quotePrefix="0" xfId="0">
      <alignment horizontal="center" vertical="center"/>
    </xf>
    <xf numFmtId="0" fontId="0" fillId="2" borderId="1" pivotButton="0" quotePrefix="0" xfId="0"/>
    <xf numFmtId="165" fontId="9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0" borderId="1" pivotButton="0" quotePrefix="0" xfId="0"/>
    <xf numFmtId="9" fontId="3" fillId="0" borderId="1" pivotButton="0" quotePrefix="0" xfId="0"/>
    <xf numFmtId="0" fontId="8" fillId="10" borderId="1" applyAlignment="1" pivotButton="0" quotePrefix="0" xfId="0">
      <alignment horizontal="center"/>
    </xf>
    <xf numFmtId="0" fontId="4" fillId="0" borderId="0" pivotButton="0" quotePrefix="0" xfId="0"/>
    <xf numFmtId="166" fontId="3" fillId="0" borderId="1" applyAlignment="1" pivotButton="0" quotePrefix="0" xfId="0">
      <alignment horizontal="center"/>
    </xf>
    <xf numFmtId="164" fontId="3" fillId="0" borderId="1" pivotButton="0" quotePrefix="0" xfId="0"/>
    <xf numFmtId="165" fontId="3" fillId="0" borderId="1" pivotButton="0" quotePrefix="0" xfId="0"/>
    <xf numFmtId="166" fontId="3" fillId="0" borderId="1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/>
    </xf>
    <xf numFmtId="0" fontId="3" fillId="0" borderId="0" pivotButton="0" quotePrefix="0" xfId="0"/>
    <xf numFmtId="0" fontId="0" fillId="0" borderId="1" applyAlignment="1" pivotButton="0" quotePrefix="0" xfId="0">
      <alignment horizontal="center"/>
    </xf>
    <xf numFmtId="0" fontId="2" fillId="10" borderId="1" pivotButton="0" quotePrefix="0" xfId="0"/>
    <xf numFmtId="0" fontId="7" fillId="0" borderId="1" applyAlignment="1" pivotButton="0" quotePrefix="0" xfId="0">
      <alignment horizontal="center"/>
    </xf>
    <xf numFmtId="9" fontId="7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1" fillId="6" borderId="0" applyAlignment="1" pivotButton="0" quotePrefix="0" xfId="0">
      <alignment horizontal="center" vertical="center"/>
    </xf>
    <xf numFmtId="0" fontId="0" fillId="6" borderId="0" pivotButton="0" quotePrefix="0" xfId="0"/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2" fillId="11" borderId="1" pivotButton="0" quotePrefix="0" xfId="0"/>
    <xf numFmtId="0" fontId="8" fillId="11" borderId="1" applyAlignment="1" pivotButton="0" quotePrefix="0" xfId="0">
      <alignment horizontal="center"/>
    </xf>
    <xf numFmtId="0" fontId="8" fillId="3" borderId="1" applyAlignment="1" pivotButton="0" quotePrefix="0" xfId="0">
      <alignment horizontal="center"/>
    </xf>
    <xf numFmtId="0" fontId="2" fillId="9" borderId="1" pivotButton="0" quotePrefix="0" xfId="0"/>
    <xf numFmtId="0" fontId="8" fillId="9" borderId="1" applyAlignment="1" pivotButton="0" quotePrefix="0" xfId="0">
      <alignment horizontal="center"/>
    </xf>
    <xf numFmtId="0" fontId="2" fillId="2" borderId="1" pivotButton="0" quotePrefix="0" xfId="0"/>
    <xf numFmtId="0" fontId="8" fillId="2" borderId="1" applyAlignment="1" pivotButton="0" quotePrefix="0" xfId="0">
      <alignment horizontal="center"/>
    </xf>
    <xf numFmtId="9" fontId="8" fillId="9" borderId="1" applyAlignment="1" pivotButton="0" quotePrefix="0" xfId="0">
      <alignment horizontal="center"/>
    </xf>
    <xf numFmtId="0" fontId="2" fillId="6" borderId="1" pivotButton="0" quotePrefix="0" xfId="0"/>
    <xf numFmtId="0" fontId="8" fillId="6" borderId="1" applyAlignment="1" pivotButton="0" quotePrefix="0" xfId="0">
      <alignment horizontal="center"/>
    </xf>
    <xf numFmtId="0" fontId="2" fillId="7" borderId="1" pivotButton="0" quotePrefix="0" xfId="0"/>
    <xf numFmtId="0" fontId="8" fillId="7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0" fillId="11" borderId="1" pivotButton="0" quotePrefix="0" xfId="0"/>
    <xf numFmtId="0" fontId="2" fillId="2" borderId="1" applyAlignment="1" pivotButton="0" quotePrefix="0" xfId="0">
      <alignment horizontal="center"/>
    </xf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3" borderId="1" applyAlignment="1" pivotButton="0" quotePrefix="0" xfId="0">
      <alignment horizontal="center" wrapText="1"/>
    </xf>
    <xf numFmtId="0" fontId="2" fillId="3" borderId="1" pivotButton="0" quotePrefix="0" xfId="0"/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10">
    <dxf>
      <fill>
        <patternFill patternType="solid">
          <fgColor rgb="00FBEDF1"/>
        </patternFill>
      </fill>
    </dxf>
    <dxf>
      <fill>
        <patternFill patternType="solid">
          <fgColor rgb="00CDE6D0"/>
        </patternFill>
      </fill>
    </dxf>
    <dxf>
      <fill>
        <patternFill patternType="solid">
          <fgColor rgb="00F7DCE2"/>
        </patternFill>
      </fill>
    </dxf>
    <dxf>
      <fill>
        <patternFill patternType="solid">
          <fgColor rgb="00F2B8C2"/>
        </patternFill>
      </fill>
    </dxf>
    <dxf>
      <fill>
        <patternFill patternType="solid">
          <fgColor rgb="00D9CCE8"/>
        </patternFill>
      </fill>
    </dxf>
    <dxf>
      <fill>
        <patternFill patternType="solid">
          <fgColor rgb="00D3E6F0"/>
        </patternFill>
      </fill>
    </dxf>
    <dxf>
      <font>
        <name val="Roboto"/>
        <strike val="1"/>
        <color rgb="00ABABAB"/>
        <sz val="10"/>
      </font>
    </dxf>
    <dxf>
      <fill>
        <patternFill patternType="solid">
          <fgColor rgb="00FBF6E3"/>
        </patternFill>
      </fill>
    </dxf>
    <dxf>
      <font>
        <name val="Roboto"/>
        <b val="1"/>
        <color rgb="00C0392B"/>
        <sz val="10"/>
      </font>
    </dxf>
    <dxf>
      <font>
        <b val="1"/>
        <color rgb="007A2530"/>
      </font>
      <fill>
        <patternFill patternType="solid">
          <fgColor rgb="00F2B8C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Доходы по категориям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'Бюджет'!$B$12:$B$14</f>
            </numRef>
          </cat>
          <val>
            <numRef>
              <f>'Бюджет'!$C$12:$C$14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Расходы по категориям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'Бюджет'!$F$12:$F$19</f>
            </numRef>
          </cat>
          <val>
            <numRef>
              <f>'Бюджет'!$G$12:$G$19</f>
            </numRef>
          </val>
        </ser>
        <firstSliceAng val="0"/>
      </pieChart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Доход / расход по месяцам</a:t>
            </a:r>
          </a:p>
        </rich>
      </tx>
    </title>
    <plotArea>
      <lineChart>
        <grouping val="standard"/>
        <ser>
          <idx val="0"/>
          <order val="0"/>
          <tx>
            <strRef>
              <f>'Бюджет'!K11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'Бюджет'!$J$12:$J$23</f>
            </numRef>
          </cat>
          <val>
            <numRef>
              <f>'Бюджет'!$K$12:$K$23</f>
            </numRef>
          </val>
        </ser>
        <ser>
          <idx val="1"/>
          <order val="1"/>
          <tx>
            <strRef>
              <f>'Бюджет'!L11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'Бюджет'!$J$12:$J$23</f>
            </numRef>
          </cat>
          <val>
            <numRef>
              <f>'Бюджет'!$L$12:$L$23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Задачи по приоритету</a:t>
            </a:r>
          </a:p>
        </rich>
      </tx>
    </title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'Планировщик задач'!$I$25:$I$28</f>
            </numRef>
          </cat>
          <val>
            <numRef>
              <f>'Планировщик задач'!$J$25:$J$28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Задачи по категориям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'Планировщик задач'!$N$25:$N$27</f>
            </numRef>
          </cat>
          <val>
            <numRef>
              <f>'Планировщик задач'!$O$25:$O$27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4.xml" Id="rId1" /><Relationship Type="http://schemas.openxmlformats.org/officeDocument/2006/relationships/chart" Target="/xl/charts/chart5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24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24</row>
      <rowOff>0</rowOff>
    </from>
    <ext cx="324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17</col>
      <colOff>0</colOff>
      <row>2</row>
      <rowOff>0</rowOff>
    </from>
    <ext cx="324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19</row>
      <rowOff>0</rowOff>
    </from>
    <ext cx="324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9DC3A4"/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2" customWidth="1" min="3" max="3"/>
    <col width="9" customWidth="1" min="4" max="4"/>
    <col width="3" customWidth="1" min="5" max="5"/>
    <col width="16" customWidth="1" min="6" max="6"/>
    <col width="12" customWidth="1" min="7" max="7"/>
    <col width="9" customWidth="1" min="8" max="8"/>
    <col width="3" customWidth="1" min="9" max="9"/>
    <col width="11" customWidth="1" min="10" max="10"/>
    <col width="12" customWidth="1" min="11" max="11"/>
    <col width="12" customWidth="1" min="12" max="12"/>
  </cols>
  <sheetData>
    <row r="1" ht="28" customHeight="1">
      <c r="A1" s="1" t="inlineStr">
        <is>
          <t>💰  БЮДЖЕТ: ДОХОДЫ И РАСХОДЫ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3">
      <c r="B3" s="3" t="inlineStr">
        <is>
          <t>Месяц:</t>
        </is>
      </c>
      <c r="C3" s="4" t="inlineStr">
        <is>
          <t>Январь</t>
        </is>
      </c>
      <c r="D3" s="3" t="inlineStr">
        <is>
          <t>Год:</t>
        </is>
      </c>
      <c r="F3" s="4" t="n">
        <v>2026</v>
      </c>
    </row>
    <row r="5">
      <c r="B5" s="5" t="inlineStr">
        <is>
          <t>ДОХОД (месяц)</t>
        </is>
      </c>
      <c r="C5" s="6" t="n"/>
      <c r="D5" s="6" t="n"/>
      <c r="F5" s="7" t="inlineStr">
        <is>
          <t>РАСХОД (месяц)</t>
        </is>
      </c>
      <c r="G5" s="8" t="n"/>
      <c r="H5" s="8" t="n"/>
      <c r="J5" s="9" t="inlineStr">
        <is>
          <t>БАЛАНС (месяц)</t>
        </is>
      </c>
      <c r="K5" s="10" t="n"/>
      <c r="L5" s="10" t="n"/>
    </row>
    <row r="6">
      <c r="B6" s="11">
        <f>SUMPRODUCT(('Журнал операций'!$D$25:$D$224="Доход")*(YEAR('Журнал операций'!$B$25:$B$224+0)=$F$3)*(MONTH('Журнал операций'!$B$25:$B$224+0)=MATCH($C$3,Справочник!$L$3:$L$14,0))*(COUNTIF(Справочник!$C$3:$C$10,'Журнал операций'!$E$25:$E$224)=0)*'Журнал операций'!$F$25:$F$224)</f>
        <v/>
      </c>
      <c r="C6" s="12" t="n"/>
      <c r="D6" s="12" t="n"/>
      <c r="F6" s="11">
        <f>SUMPRODUCT(('Журнал операций'!$D$25:$D$224="Расход")*(YEAR('Журнал операций'!$B$25:$B$224+0)=$F$3)*(MONTH('Журнал операций'!$B$25:$B$224+0)=MATCH($C$3,Справочник!$L$3:$L$14,0))*(COUNTIF(Справочник!$C$3:$C$10,'Журнал операций'!$E$25:$E$224)=0)*'Журнал операций'!$F$25:$F$224)</f>
        <v/>
      </c>
      <c r="G6" s="12" t="n"/>
      <c r="H6" s="12" t="n"/>
      <c r="J6" s="11">
        <f>B6-F6</f>
        <v/>
      </c>
      <c r="K6" s="12" t="n"/>
      <c r="L6" s="12" t="n"/>
    </row>
    <row r="7">
      <c r="B7" s="12" t="n"/>
      <c r="C7" s="12" t="n"/>
      <c r="D7" s="12" t="n"/>
      <c r="F7" s="12" t="n"/>
      <c r="G7" s="12" t="n"/>
      <c r="H7" s="12" t="n"/>
      <c r="J7" s="12" t="n"/>
      <c r="K7" s="12" t="n"/>
      <c r="L7" s="12" t="n"/>
    </row>
    <row r="8">
      <c r="B8" s="12" t="n"/>
      <c r="C8" s="12" t="n"/>
      <c r="D8" s="12" t="n"/>
      <c r="F8" s="12" t="n"/>
      <c r="G8" s="12" t="n"/>
      <c r="H8" s="12" t="n"/>
      <c r="J8" s="12" t="n"/>
      <c r="K8" s="12" t="n"/>
      <c r="L8" s="12" t="n"/>
    </row>
    <row r="10">
      <c r="B10" s="5" t="inlineStr">
        <is>
          <t>ДОХОДЫ ПО КАТЕГОРИЯМ (месяц)</t>
        </is>
      </c>
      <c r="C10" s="6" t="n"/>
      <c r="D10" s="6" t="n"/>
      <c r="F10" s="7" t="inlineStr">
        <is>
          <t>РАСХОДЫ ПО КАТЕГОРИЯМ (месяц)</t>
        </is>
      </c>
      <c r="G10" s="8" t="n"/>
      <c r="H10" s="8" t="n"/>
      <c r="J10" s="13" t="inlineStr">
        <is>
          <t>ДИНАМИКА ЗА ГОД</t>
        </is>
      </c>
      <c r="K10" s="14" t="n"/>
      <c r="L10" s="14" t="n"/>
    </row>
    <row r="11">
      <c r="B11" s="15" t="inlineStr">
        <is>
          <t>Категория</t>
        </is>
      </c>
      <c r="C11" s="15" t="inlineStr">
        <is>
          <t>Сумма</t>
        </is>
      </c>
      <c r="D11" s="15" t="inlineStr">
        <is>
          <t>%</t>
        </is>
      </c>
      <c r="F11" s="16" t="inlineStr">
        <is>
          <t>Категория</t>
        </is>
      </c>
      <c r="G11" s="16" t="inlineStr">
        <is>
          <t>Сумма</t>
        </is>
      </c>
      <c r="H11" s="16" t="inlineStr">
        <is>
          <t>%</t>
        </is>
      </c>
      <c r="J11" s="17" t="inlineStr">
        <is>
          <t>Месяц</t>
        </is>
      </c>
      <c r="K11" s="17" t="inlineStr">
        <is>
          <t>Доход</t>
        </is>
      </c>
      <c r="L11" s="17" t="inlineStr">
        <is>
          <t>Расход</t>
        </is>
      </c>
    </row>
    <row r="12">
      <c r="B12" s="18" t="inlineStr">
        <is>
          <t>Зарплата</t>
        </is>
      </c>
      <c r="C12" s="18">
        <f>SUMPRODUCT(('Журнал операций'!$D$25:$D$224="Доход")*('Журнал операций'!$E$25:$E$224="Зарплата")*(YEAR('Журнал операций'!$B$25:$B$224+0)=$F$3)*(MONTH('Журнал операций'!$B$25:$B$224+0)=MATCH($C$3,Справочник!$L$3:$L$14,0))*'Журнал операций'!$F$25:$F$224)</f>
        <v/>
      </c>
      <c r="D12" s="19">
        <f>IFERROR(C12/$B$6,0)</f>
        <v/>
      </c>
      <c r="F12" s="18" t="inlineStr">
        <is>
          <t>Аренда</t>
        </is>
      </c>
      <c r="G12" s="18">
        <f>SUMPRODUCT(('Журнал операций'!$D$25:$D$224="Расход")*('Журнал операций'!$E$25:$E$224="Аренда")*(YEAR('Журнал операций'!$B$25:$B$224+0)=$F$3)*(MONTH('Журнал операций'!$B$25:$B$224+0)=MATCH($C$3,Справочник!$L$3:$L$14,0))*'Журнал операций'!$F$25:$F$224)</f>
        <v/>
      </c>
      <c r="H12" s="19">
        <f>IFERROR(G12/$F$6,0)</f>
        <v/>
      </c>
      <c r="J12" s="18">
        <f>TEXT(DATE($F$3,1,1),"mmm yy")</f>
        <v/>
      </c>
      <c r="K12" s="18">
        <f>SUMPRODUCT(('Журнал операций'!$D$25:$D$224="Доход")*(YEAR('Журнал операций'!$B$25:$B$224+0)=$F$3)*(MONTH('Журнал операций'!$B$25:$B$224+0)=1)*(COUNTIF(Справочник!$C$3:$C$10,'Журнал операций'!$E$25:$E$224)=0)*'Журнал операций'!$F$25:$F$224)</f>
        <v/>
      </c>
      <c r="L12" s="18">
        <f>SUMPRODUCT(('Журнал операций'!$D$25:$D$224="Расход")*(YEAR('Журнал операций'!$B$25:$B$224+0)=$F$3)*(MONTH('Журнал операций'!$B$25:$B$224+0)=1)*(COUNTIF(Справочник!$C$3:$C$10,'Журнал операций'!$E$25:$E$224)=0)*'Журнал операций'!$F$25:$F$224)</f>
        <v/>
      </c>
    </row>
    <row r="13">
      <c r="B13" s="18" t="inlineStr">
        <is>
          <t>Заказы</t>
        </is>
      </c>
      <c r="C13" s="18">
        <f>SUMPRODUCT(('Журнал операций'!$D$25:$D$224="Доход")*('Журнал операций'!$E$25:$E$224="Заказы")*(YEAR('Журнал операций'!$B$25:$B$224+0)=$F$3)*(MONTH('Журнал операций'!$B$25:$B$224+0)=MATCH($C$3,Справочник!$L$3:$L$14,0))*'Журнал операций'!$F$25:$F$224)</f>
        <v/>
      </c>
      <c r="D13" s="19">
        <f>IFERROR(C13/$B$6,0)</f>
        <v/>
      </c>
      <c r="F13" s="18" t="inlineStr">
        <is>
          <t>Продукты</t>
        </is>
      </c>
      <c r="G13" s="18">
        <f>SUMPRODUCT(('Журнал операций'!$D$25:$D$224="Расход")*('Журнал операций'!$E$25:$E$224="Продукты")*(YEAR('Журнал операций'!$B$25:$B$224+0)=$F$3)*(MONTH('Журнал операций'!$B$25:$B$224+0)=MATCH($C$3,Справочник!$L$3:$L$14,0))*'Журнал операций'!$F$25:$F$224)</f>
        <v/>
      </c>
      <c r="H13" s="19">
        <f>IFERROR(G13/$F$6,0)</f>
        <v/>
      </c>
      <c r="J13" s="18">
        <f>TEXT(DATE($F$3,2,1),"mmm yy")</f>
        <v/>
      </c>
      <c r="K13" s="18">
        <f>SUMPRODUCT(('Журнал операций'!$D$25:$D$224="Доход")*(YEAR('Журнал операций'!$B$25:$B$224+0)=$F$3)*(MONTH('Журнал операций'!$B$25:$B$224+0)=2)*(COUNTIF(Справочник!$C$3:$C$10,'Журнал операций'!$E$25:$E$224)=0)*'Журнал операций'!$F$25:$F$224)</f>
        <v/>
      </c>
      <c r="L13" s="18">
        <f>SUMPRODUCT(('Журнал операций'!$D$25:$D$224="Расход")*(YEAR('Журнал операций'!$B$25:$B$224+0)=$F$3)*(MONTH('Журнал операций'!$B$25:$B$224+0)=2)*(COUNTIF(Справочник!$C$3:$C$10,'Журнал операций'!$E$25:$E$224)=0)*'Журнал операций'!$F$25:$F$224)</f>
        <v/>
      </c>
    </row>
    <row r="14">
      <c r="B14" s="18" t="inlineStr">
        <is>
          <t>Подарок</t>
        </is>
      </c>
      <c r="C14" s="18">
        <f>SUMPRODUCT(('Журнал операций'!$D$25:$D$224="Доход")*('Журнал операций'!$E$25:$E$224="Подарок")*(YEAR('Журнал операций'!$B$25:$B$224+0)=$F$3)*(MONTH('Журнал операций'!$B$25:$B$224+0)=MATCH($C$3,Справочник!$L$3:$L$14,0))*'Журнал операций'!$F$25:$F$224)</f>
        <v/>
      </c>
      <c r="D14" s="19">
        <f>IFERROR(C14/$B$6,0)</f>
        <v/>
      </c>
      <c r="F14" s="18" t="inlineStr">
        <is>
          <t>Обучение</t>
        </is>
      </c>
      <c r="G14" s="18">
        <f>SUMPRODUCT(('Журнал операций'!$D$25:$D$224="Расход")*('Журнал операций'!$E$25:$E$224="Обучение")*(YEAR('Журнал операций'!$B$25:$B$224+0)=$F$3)*(MONTH('Журнал операций'!$B$25:$B$224+0)=MATCH($C$3,Справочник!$L$3:$L$14,0))*'Журнал операций'!$F$25:$F$224)</f>
        <v/>
      </c>
      <c r="H14" s="19">
        <f>IFERROR(G14/$F$6,0)</f>
        <v/>
      </c>
      <c r="J14" s="18">
        <f>TEXT(DATE($F$3,3,1),"mmm yy")</f>
        <v/>
      </c>
      <c r="K14" s="18">
        <f>SUMPRODUCT(('Журнал операций'!$D$25:$D$224="Доход")*(YEAR('Журнал операций'!$B$25:$B$224+0)=$F$3)*(MONTH('Журнал операций'!$B$25:$B$224+0)=3)*(COUNTIF(Справочник!$C$3:$C$10,'Журнал операций'!$E$25:$E$224)=0)*'Журнал операций'!$F$25:$F$224)</f>
        <v/>
      </c>
      <c r="L14" s="18">
        <f>SUMPRODUCT(('Журнал операций'!$D$25:$D$224="Расход")*(YEAR('Журнал операций'!$B$25:$B$224+0)=$F$3)*(MONTH('Журнал операций'!$B$25:$B$224+0)=3)*(COUNTIF(Справочник!$C$3:$C$10,'Журнал операций'!$E$25:$E$224)=0)*'Журнал операций'!$F$25:$F$224)</f>
        <v/>
      </c>
    </row>
    <row r="15">
      <c r="F15" s="18" t="inlineStr">
        <is>
          <t>Кредит</t>
        </is>
      </c>
      <c r="G15" s="18">
        <f>SUMPRODUCT(('Журнал операций'!$D$25:$D$224="Расход")*('Журнал операций'!$E$25:$E$224="Кредит")*(YEAR('Журнал операций'!$B$25:$B$224+0)=$F$3)*(MONTH('Журнал операций'!$B$25:$B$224+0)=MATCH($C$3,Справочник!$L$3:$L$14,0))*'Журнал операций'!$F$25:$F$224)</f>
        <v/>
      </c>
      <c r="H15" s="19">
        <f>IFERROR(G15/$F$6,0)</f>
        <v/>
      </c>
      <c r="J15" s="18">
        <f>TEXT(DATE($F$3,4,1),"mmm yy")</f>
        <v/>
      </c>
      <c r="K15" s="18">
        <f>SUMPRODUCT(('Журнал операций'!$D$25:$D$224="Доход")*(YEAR('Журнал операций'!$B$25:$B$224+0)=$F$3)*(MONTH('Журнал операций'!$B$25:$B$224+0)=4)*(COUNTIF(Справочник!$C$3:$C$10,'Журнал операций'!$E$25:$E$224)=0)*'Журнал операций'!$F$25:$F$224)</f>
        <v/>
      </c>
      <c r="L15" s="18">
        <f>SUMPRODUCT(('Журнал операций'!$D$25:$D$224="Расход")*(YEAR('Журнал операций'!$B$25:$B$224+0)=$F$3)*(MONTH('Журнал операций'!$B$25:$B$224+0)=4)*(COUNTIF(Справочник!$C$3:$C$10,'Журнал операций'!$E$25:$E$224)=0)*'Журнал операций'!$F$25:$F$224)</f>
        <v/>
      </c>
    </row>
    <row r="16">
      <c r="F16" s="18" t="inlineStr">
        <is>
          <t>Субподряд</t>
        </is>
      </c>
      <c r="G16" s="18">
        <f>SUMPRODUCT(('Журнал операций'!$D$25:$D$224="Расход")*('Журнал операций'!$E$25:$E$224="Субподряд")*(YEAR('Журнал операций'!$B$25:$B$224+0)=$F$3)*(MONTH('Журнал операций'!$B$25:$B$224+0)=MATCH($C$3,Справочник!$L$3:$L$14,0))*'Журнал операций'!$F$25:$F$224)</f>
        <v/>
      </c>
      <c r="H16" s="19">
        <f>IFERROR(G16/$F$6,0)</f>
        <v/>
      </c>
      <c r="J16" s="18">
        <f>TEXT(DATE($F$3,5,1),"mmm yy")</f>
        <v/>
      </c>
      <c r="K16" s="18">
        <f>SUMPRODUCT(('Журнал операций'!$D$25:$D$224="Доход")*(YEAR('Журнал операций'!$B$25:$B$224+0)=$F$3)*(MONTH('Журнал операций'!$B$25:$B$224+0)=5)*(COUNTIF(Справочник!$C$3:$C$10,'Журнал операций'!$E$25:$E$224)=0)*'Журнал операций'!$F$25:$F$224)</f>
        <v/>
      </c>
      <c r="L16" s="18">
        <f>SUMPRODUCT(('Журнал операций'!$D$25:$D$224="Расход")*(YEAR('Журнал операций'!$B$25:$B$224+0)=$F$3)*(MONTH('Журнал операций'!$B$25:$B$224+0)=5)*(COUNTIF(Справочник!$C$3:$C$10,'Журнал операций'!$E$25:$E$224)=0)*'Журнал операций'!$F$25:$F$224)</f>
        <v/>
      </c>
    </row>
    <row r="17">
      <c r="F17" s="18" t="inlineStr">
        <is>
          <t>Ипотека</t>
        </is>
      </c>
      <c r="G17" s="18">
        <f>SUMPRODUCT(('Журнал операций'!$D$25:$D$224="Расход")*('Журнал операций'!$E$25:$E$224="Ипотека")*(YEAR('Журнал операций'!$B$25:$B$224+0)=$F$3)*(MONTH('Журнал операций'!$B$25:$B$224+0)=MATCH($C$3,Справочник!$L$3:$L$14,0))*'Журнал операций'!$F$25:$F$224)</f>
        <v/>
      </c>
      <c r="H17" s="19">
        <f>IFERROR(G17/$F$6,0)</f>
        <v/>
      </c>
      <c r="J17" s="18">
        <f>TEXT(DATE($F$3,6,1),"mmm yy")</f>
        <v/>
      </c>
      <c r="K17" s="18">
        <f>SUMPRODUCT(('Журнал операций'!$D$25:$D$224="Доход")*(YEAR('Журнал операций'!$B$25:$B$224+0)=$F$3)*(MONTH('Журнал операций'!$B$25:$B$224+0)=6)*(COUNTIF(Справочник!$C$3:$C$10,'Журнал операций'!$E$25:$E$224)=0)*'Журнал операций'!$F$25:$F$224)</f>
        <v/>
      </c>
      <c r="L17" s="18">
        <f>SUMPRODUCT(('Журнал операций'!$D$25:$D$224="Расход")*(YEAR('Журнал операций'!$B$25:$B$224+0)=$F$3)*(MONTH('Журнал операций'!$B$25:$B$224+0)=6)*(COUNTIF(Справочник!$C$3:$C$10,'Журнал операций'!$E$25:$E$224)=0)*'Журнал операций'!$F$25:$F$224)</f>
        <v/>
      </c>
    </row>
    <row r="18">
      <c r="F18" s="18" t="inlineStr">
        <is>
          <t>Подарок</t>
        </is>
      </c>
      <c r="G18" s="18">
        <f>SUMPRODUCT(('Журнал операций'!$D$25:$D$224="Расход")*('Журнал операций'!$E$25:$E$224="Подарок")*(YEAR('Журнал операций'!$B$25:$B$224+0)=$F$3)*(MONTH('Журнал операций'!$B$25:$B$224+0)=MATCH($C$3,Справочник!$L$3:$L$14,0))*'Журнал операций'!$F$25:$F$224)</f>
        <v/>
      </c>
      <c r="H18" s="19">
        <f>IFERROR(G18/$F$6,0)</f>
        <v/>
      </c>
      <c r="J18" s="18">
        <f>TEXT(DATE($F$3,7,1),"mmm yy")</f>
        <v/>
      </c>
      <c r="K18" s="18">
        <f>SUMPRODUCT(('Журнал операций'!$D$25:$D$224="Доход")*(YEAR('Журнал операций'!$B$25:$B$224+0)=$F$3)*(MONTH('Журнал операций'!$B$25:$B$224+0)=7)*(COUNTIF(Справочник!$C$3:$C$10,'Журнал операций'!$E$25:$E$224)=0)*'Журнал операций'!$F$25:$F$224)</f>
        <v/>
      </c>
      <c r="L18" s="18">
        <f>SUMPRODUCT(('Журнал операций'!$D$25:$D$224="Расход")*(YEAR('Журнал операций'!$B$25:$B$224+0)=$F$3)*(MONTH('Журнал операций'!$B$25:$B$224+0)=7)*(COUNTIF(Справочник!$C$3:$C$10,'Журнал операций'!$E$25:$E$224)=0)*'Журнал операций'!$F$25:$F$224)</f>
        <v/>
      </c>
    </row>
    <row r="19">
      <c r="F19" s="18" t="inlineStr">
        <is>
          <t>Аутсорс</t>
        </is>
      </c>
      <c r="G19" s="18">
        <f>SUMPRODUCT(('Журнал операций'!$D$25:$D$224="Расход")*('Журнал операций'!$E$25:$E$224="Аутсорс")*(YEAR('Журнал операций'!$B$25:$B$224+0)=$F$3)*(MONTH('Журнал операций'!$B$25:$B$224+0)=MATCH($C$3,Справочник!$L$3:$L$14,0))*'Журнал операций'!$F$25:$F$224)</f>
        <v/>
      </c>
      <c r="H19" s="19">
        <f>IFERROR(G19/$F$6,0)</f>
        <v/>
      </c>
      <c r="J19" s="18">
        <f>TEXT(DATE($F$3,8,1),"mmm yy")</f>
        <v/>
      </c>
      <c r="K19" s="18">
        <f>SUMPRODUCT(('Журнал операций'!$D$25:$D$224="Доход")*(YEAR('Журнал операций'!$B$25:$B$224+0)=$F$3)*(MONTH('Журнал операций'!$B$25:$B$224+0)=8)*(COUNTIF(Справочник!$C$3:$C$10,'Журнал операций'!$E$25:$E$224)=0)*'Журнал операций'!$F$25:$F$224)</f>
        <v/>
      </c>
      <c r="L19" s="18">
        <f>SUMPRODUCT(('Журнал операций'!$D$25:$D$224="Расход")*(YEAR('Журнал операций'!$B$25:$B$224+0)=$F$3)*(MONTH('Журнал операций'!$B$25:$B$224+0)=8)*(COUNTIF(Справочник!$C$3:$C$10,'Журнал операций'!$E$25:$E$224)=0)*'Журнал операций'!$F$25:$F$224)</f>
        <v/>
      </c>
    </row>
    <row r="20">
      <c r="J20" s="18">
        <f>TEXT(DATE($F$3,9,1),"mmm yy")</f>
        <v/>
      </c>
      <c r="K20" s="18">
        <f>SUMPRODUCT(('Журнал операций'!$D$25:$D$224="Доход")*(YEAR('Журнал операций'!$B$25:$B$224+0)=$F$3)*(MONTH('Журнал операций'!$B$25:$B$224+0)=9)*(COUNTIF(Справочник!$C$3:$C$10,'Журнал операций'!$E$25:$E$224)=0)*'Журнал операций'!$F$25:$F$224)</f>
        <v/>
      </c>
      <c r="L20" s="18">
        <f>SUMPRODUCT(('Журнал операций'!$D$25:$D$224="Расход")*(YEAR('Журнал операций'!$B$25:$B$224+0)=$F$3)*(MONTH('Журнал операций'!$B$25:$B$224+0)=9)*(COUNTIF(Справочник!$C$3:$C$10,'Журнал операций'!$E$25:$E$224)=0)*'Журнал операций'!$F$25:$F$224)</f>
        <v/>
      </c>
    </row>
    <row r="21">
      <c r="J21" s="18">
        <f>TEXT(DATE($F$3,10,1),"mmm yy")</f>
        <v/>
      </c>
      <c r="K21" s="18">
        <f>SUMPRODUCT(('Журнал операций'!$D$25:$D$224="Доход")*(YEAR('Журнал операций'!$B$25:$B$224+0)=$F$3)*(MONTH('Журнал операций'!$B$25:$B$224+0)=10)*(COUNTIF(Справочник!$C$3:$C$10,'Журнал операций'!$E$25:$E$224)=0)*'Журнал операций'!$F$25:$F$224)</f>
        <v/>
      </c>
      <c r="L21" s="18">
        <f>SUMPRODUCT(('Журнал операций'!$D$25:$D$224="Расход")*(YEAR('Журнал операций'!$B$25:$B$224+0)=$F$3)*(MONTH('Журнал операций'!$B$25:$B$224+0)=10)*(COUNTIF(Справочник!$C$3:$C$10,'Журнал операций'!$E$25:$E$224)=0)*'Журнал операций'!$F$25:$F$224)</f>
        <v/>
      </c>
    </row>
    <row r="22">
      <c r="J22" s="18">
        <f>TEXT(DATE($F$3,11,1),"mmm yy")</f>
        <v/>
      </c>
      <c r="K22" s="18">
        <f>SUMPRODUCT(('Журнал операций'!$D$25:$D$224="Доход")*(YEAR('Журнал операций'!$B$25:$B$224+0)=$F$3)*(MONTH('Журнал операций'!$B$25:$B$224+0)=11)*(COUNTIF(Справочник!$C$3:$C$10,'Журнал операций'!$E$25:$E$224)=0)*'Журнал операций'!$F$25:$F$224)</f>
        <v/>
      </c>
      <c r="L22" s="18">
        <f>SUMPRODUCT(('Журнал операций'!$D$25:$D$224="Расход")*(YEAR('Журнал операций'!$B$25:$B$224+0)=$F$3)*(MONTH('Журнал операций'!$B$25:$B$224+0)=11)*(COUNTIF(Справочник!$C$3:$C$10,'Журнал операций'!$E$25:$E$224)=0)*'Журнал операций'!$F$25:$F$224)</f>
        <v/>
      </c>
    </row>
    <row r="23">
      <c r="J23" s="18">
        <f>TEXT(DATE($F$3,12,1),"mmm yy")</f>
        <v/>
      </c>
      <c r="K23" s="18">
        <f>SUMPRODUCT(('Журнал операций'!$D$25:$D$224="Доход")*(YEAR('Журнал операций'!$B$25:$B$224+0)=$F$3)*(MONTH('Журнал операций'!$B$25:$B$224+0)=12)*(COUNTIF(Справочник!$C$3:$C$10,'Журнал операций'!$E$25:$E$224)=0)*'Журнал операций'!$F$25:$F$224)</f>
        <v/>
      </c>
      <c r="L23" s="18">
        <f>SUMPRODUCT(('Журнал операций'!$D$25:$D$224="Расход")*(YEAR('Журнал операций'!$B$25:$B$224+0)=$F$3)*(MONTH('Журнал операций'!$B$25:$B$224+0)=12)*(COUNTIF(Справочник!$C$3:$C$10,'Журнал операций'!$E$25:$E$224)=0)*'Журнал операций'!$F$25:$F$224)</f>
        <v/>
      </c>
    </row>
  </sheetData>
  <mergeCells count="10">
    <mergeCell ref="B10:D10"/>
    <mergeCell ref="J5:L5"/>
    <mergeCell ref="F10:H10"/>
    <mergeCell ref="B5:D5"/>
    <mergeCell ref="F5:H5"/>
    <mergeCell ref="J10:L10"/>
    <mergeCell ref="B6:D8"/>
    <mergeCell ref="J6:L8"/>
    <mergeCell ref="F6:H8"/>
    <mergeCell ref="A1:L1"/>
  </mergeCells>
  <dataValidations count="2">
    <dataValidation sqref="C3" showDropDown="0" showInputMessage="0" showErrorMessage="0" allowBlank="1" type="list">
      <formula1>=Справочник!$L$3:$L$14</formula1>
    </dataValidation>
    <dataValidation sqref="F3" showDropDown="0" showInputMessage="0" showErrorMessage="0" allowBlank="1" type="list">
      <formula1>=Справочник!$M$3:$M$12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9DC3A4"/>
    <outlinePr summaryBelow="1" summaryRight="1"/>
    <pageSetUpPr/>
  </sheetPr>
  <dimension ref="A1:H224"/>
  <sheetViews>
    <sheetView showGridLines="0" workbookViewId="0">
      <pane xSplit="1" ySplit="24" topLeftCell="B2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6" customWidth="1" min="3" max="3"/>
    <col width="12" customWidth="1" min="4" max="4"/>
    <col width="20" customWidth="1" min="5" max="5"/>
    <col width="12" customWidth="1" min="6" max="6"/>
    <col width="22" customWidth="1" min="7" max="7"/>
    <col width="12" customWidth="1" min="8" max="8"/>
  </cols>
  <sheetData>
    <row r="1" ht="28" customHeight="1">
      <c r="A1" s="1" t="inlineStr">
        <is>
          <t>📒  ЖУРНАЛ ОПЕРАЦИЙ</t>
        </is>
      </c>
      <c r="B1" s="2" t="n"/>
      <c r="C1" s="2" t="n"/>
      <c r="D1" s="2" t="n"/>
      <c r="E1" s="2" t="n"/>
      <c r="F1" s="2" t="n"/>
      <c r="G1" s="2" t="n"/>
      <c r="H1" s="2" t="n"/>
    </row>
    <row r="3">
      <c r="B3" s="3" t="inlineStr">
        <is>
          <t>Месяц:</t>
        </is>
      </c>
      <c r="C3" s="20">
        <f>Бюджет!$C$3</f>
        <v/>
      </c>
      <c r="E3" s="3" t="inlineStr">
        <is>
          <t>Год:</t>
        </is>
      </c>
      <c r="F3" s="20">
        <f>Бюджет!$F$3</f>
        <v/>
      </c>
      <c r="G3" s="21" t="inlineStr">
        <is>
          <t>← изменить можно на вкладке «Бюджет»</t>
        </is>
      </c>
    </row>
    <row r="5">
      <c r="B5" s="5" t="inlineStr">
        <is>
          <t>ДОХОД (месяц)</t>
        </is>
      </c>
      <c r="C5" s="6" t="n"/>
      <c r="D5" s="7" t="inlineStr">
        <is>
          <t>РАСХОД (месяц)</t>
        </is>
      </c>
      <c r="E5" s="8" t="n"/>
      <c r="F5" s="9" t="inlineStr">
        <is>
          <t>БАЛАНС (месяц)</t>
        </is>
      </c>
      <c r="G5" s="10" t="n"/>
      <c r="H5" s="10" t="n"/>
    </row>
    <row r="6">
      <c r="B6" s="11">
        <f>SUMPRODUCT(($D$25:$D$224="Доход")*(YEAR($B$25:$B$224+0)=Бюджет!$F$3)*(MONTH($B$25:$B$224+0)=MATCH(Бюджет!$C$3,Справочник!$L$3:$L$14,0))*(COUNTIF(Справочник!$C$3:$C$10,$E$25:$E$224)=0)*$F$25:$F$224)</f>
        <v/>
      </c>
      <c r="C6" s="12" t="n"/>
      <c r="D6" s="11">
        <f>SUMPRODUCT(($D$25:$D$224="Расход")*(YEAR($B$25:$B$224+0)=Бюджет!$F$3)*(MONTH($B$25:$B$224+0)=MATCH(Бюджет!$C$3,Справочник!$L$3:$L$14,0))*(COUNTIF(Справочник!$C$3:$C$10,$E$25:$E$224)=0)*$F$25:$F$224)</f>
        <v/>
      </c>
      <c r="E6" s="12" t="n"/>
      <c r="F6" s="11">
        <f>B6-D6</f>
        <v/>
      </c>
      <c r="G6" s="12" t="n"/>
      <c r="H6" s="12" t="n"/>
    </row>
    <row r="7">
      <c r="B7" s="12" t="n"/>
      <c r="C7" s="12" t="n"/>
      <c r="D7" s="12" t="n"/>
      <c r="E7" s="12" t="n"/>
      <c r="F7" s="12" t="n"/>
      <c r="G7" s="12" t="n"/>
      <c r="H7" s="12" t="n"/>
    </row>
    <row r="8">
      <c r="B8" s="12" t="n"/>
      <c r="C8" s="12" t="n"/>
      <c r="D8" s="12" t="n"/>
      <c r="E8" s="12" t="n"/>
      <c r="F8" s="12" t="n"/>
      <c r="G8" s="12" t="n"/>
      <c r="H8" s="12" t="n"/>
    </row>
    <row r="10">
      <c r="B10" s="13" t="inlineStr">
        <is>
          <t>ОСТАТОК ПО СЧЕТАМ</t>
        </is>
      </c>
      <c r="C10" s="14" t="n"/>
    </row>
    <row r="11">
      <c r="B11" s="17" t="inlineStr">
        <is>
          <t>Счёт</t>
        </is>
      </c>
      <c r="C11" s="17" t="inlineStr">
        <is>
          <t>Остаток</t>
        </is>
      </c>
    </row>
    <row r="12">
      <c r="B12" s="18">
        <f>IFERROR(IF(Справочник!$K$3="","",Справочник!$K$3),"")</f>
        <v/>
      </c>
      <c r="C12" s="22">
        <f>IF(B12="","",SUMIFS($F$25:$F$224,$C$25:$C$224,B12,$D$25:$D$224,"Доход")-SUMIFS($F$25:$F$224,$C$25:$C$224,B12,$D$25:$D$224,"Расход"))</f>
        <v/>
      </c>
    </row>
    <row r="13">
      <c r="B13" s="18">
        <f>IFERROR(IF(Справочник!$K$4="","",Справочник!$K$4),"")</f>
        <v/>
      </c>
      <c r="C13" s="22">
        <f>IF(B13="","",SUMIFS($F$25:$F$224,$C$25:$C$224,B13,$D$25:$D$224,"Доход")-SUMIFS($F$25:$F$224,$C$25:$C$224,B13,$D$25:$D$224,"Расход"))</f>
        <v/>
      </c>
    </row>
    <row r="14">
      <c r="B14" s="18">
        <f>IFERROR(IF(Справочник!$K$5="","",Справочник!$K$5),"")</f>
        <v/>
      </c>
      <c r="C14" s="22">
        <f>IF(B14="","",SUMIFS($F$25:$F$224,$C$25:$C$224,B14,$D$25:$D$224,"Доход")-SUMIFS($F$25:$F$224,$C$25:$C$224,B14,$D$25:$D$224,"Расход"))</f>
        <v/>
      </c>
    </row>
    <row r="15">
      <c r="B15" s="18">
        <f>IFERROR(IF(Справочник!$K$6="","",Справочник!$K$6),"")</f>
        <v/>
      </c>
      <c r="C15" s="22">
        <f>IF(B15="","",SUMIFS($F$25:$F$224,$C$25:$C$224,B15,$D$25:$D$224,"Доход")-SUMIFS($F$25:$F$224,$C$25:$C$224,B15,$D$25:$D$224,"Расход"))</f>
        <v/>
      </c>
    </row>
    <row r="16">
      <c r="B16" s="18">
        <f>IFERROR(IF(Справочник!$K$7="","",Справочник!$K$7),"")</f>
        <v/>
      </c>
      <c r="C16" s="22">
        <f>IF(B16="","",SUMIFS($F$25:$F$224,$C$25:$C$224,B16,$D$25:$D$224,"Доход")-SUMIFS($F$25:$F$224,$C$25:$C$224,B16,$D$25:$D$224,"Расход"))</f>
        <v/>
      </c>
    </row>
    <row r="17">
      <c r="B17" s="18">
        <f>IFERROR(IF(Справочник!$K$8="","",Справочник!$K$8),"")</f>
        <v/>
      </c>
      <c r="C17" s="22">
        <f>IF(B17="","",SUMIFS($F$25:$F$224,$C$25:$C$224,B17,$D$25:$D$224,"Доход")-SUMIFS($F$25:$F$224,$C$25:$C$224,B17,$D$25:$D$224,"Расход"))</f>
        <v/>
      </c>
    </row>
    <row r="18">
      <c r="B18" s="18">
        <f>IFERROR(IF(Справочник!$K$9="","",Справочник!$K$9),"")</f>
        <v/>
      </c>
      <c r="C18" s="22">
        <f>IF(B18="","",SUMIFS($F$25:$F$224,$C$25:$C$224,B18,$D$25:$D$224,"Доход")-SUMIFS($F$25:$F$224,$C$25:$C$224,B18,$D$25:$D$224,"Расход"))</f>
        <v/>
      </c>
    </row>
    <row r="19">
      <c r="B19" s="18">
        <f>IFERROR(IF(Справочник!$K$10="","",Справочник!$K$10),"")</f>
        <v/>
      </c>
      <c r="C19" s="22">
        <f>IF(B19="","",SUMIFS($F$25:$F$224,$C$25:$C$224,B19,$D$25:$D$224,"Доход")-SUMIFS($F$25:$F$224,$C$25:$C$224,B19,$D$25:$D$224,"Расход"))</f>
        <v/>
      </c>
    </row>
    <row r="20">
      <c r="B20" s="18">
        <f>IFERROR(IF(Справочник!$K$11="","",Справочник!$K$11),"")</f>
        <v/>
      </c>
      <c r="C20" s="22">
        <f>IF(B20="","",SUMIFS($F$25:$F$224,$C$25:$C$224,B20,$D$25:$D$224,"Доход")-SUMIFS($F$25:$F$224,$C$25:$C$224,B20,$D$25:$D$224,"Расход"))</f>
        <v/>
      </c>
    </row>
    <row r="21">
      <c r="B21" s="18">
        <f>IFERROR(IF(Справочник!$K$12="","",Справочник!$K$12),"")</f>
        <v/>
      </c>
      <c r="C21" s="22">
        <f>IF(B21="","",SUMIFS($F$25:$F$224,$C$25:$C$224,B21,$D$25:$D$224,"Доход")-SUMIFS($F$25:$F$224,$C$25:$C$224,B21,$D$25:$D$224,"Расход"))</f>
        <v/>
      </c>
    </row>
    <row r="23">
      <c r="B23" s="5" t="inlineStr">
        <is>
          <t>✏️  ВНОСИТЕ ДОХОДЫ И РАСХОДЫ СЮДА</t>
        </is>
      </c>
      <c r="C23" s="6" t="n"/>
      <c r="D23" s="6" t="n"/>
      <c r="E23" s="6" t="n"/>
      <c r="F23" s="6" t="n"/>
      <c r="G23" s="6" t="n"/>
      <c r="H23" s="6" t="n"/>
    </row>
    <row r="24">
      <c r="B24" s="15" t="inlineStr">
        <is>
          <t>Дата</t>
        </is>
      </c>
      <c r="C24" s="15" t="inlineStr">
        <is>
          <t>Счёт</t>
        </is>
      </c>
      <c r="D24" s="15" t="inlineStr">
        <is>
          <t>Тип</t>
        </is>
      </c>
      <c r="E24" s="15" t="inlineStr">
        <is>
          <t>Категория</t>
        </is>
      </c>
      <c r="F24" s="15" t="inlineStr">
        <is>
          <t>Сумма</t>
        </is>
      </c>
      <c r="G24" s="15" t="inlineStr">
        <is>
          <t>Описание</t>
        </is>
      </c>
      <c r="H24" s="15" t="inlineStr">
        <is>
          <t>Остаток</t>
        </is>
      </c>
    </row>
    <row r="25">
      <c r="B25" s="23" t="n">
        <v>46027</v>
      </c>
      <c r="C25" s="18" t="inlineStr">
        <is>
          <t>Карта Сбербанк</t>
        </is>
      </c>
      <c r="D25" s="18" t="inlineStr">
        <is>
          <t>Доход</t>
        </is>
      </c>
      <c r="E25" s="18" t="inlineStr">
        <is>
          <t>Зарплата</t>
        </is>
      </c>
      <c r="F25" s="24" t="n">
        <v>75000</v>
      </c>
      <c r="G25" s="18" t="inlineStr"/>
      <c r="H25" s="25">
        <f>IF(C25="","",SUMPRODUCT(($C$25:C25=C25)*(2*($D$25:D25="Доход")-1)*$F$25:F25))</f>
        <v/>
      </c>
    </row>
    <row r="26">
      <c r="B26" s="23" t="n">
        <v>46028</v>
      </c>
      <c r="C26" s="18" t="inlineStr">
        <is>
          <t>Карта Сбербанк</t>
        </is>
      </c>
      <c r="D26" s="18" t="inlineStr">
        <is>
          <t>Расход</t>
        </is>
      </c>
      <c r="E26" s="18" t="inlineStr">
        <is>
          <t>Аренда</t>
        </is>
      </c>
      <c r="F26" s="24" t="n">
        <v>28000</v>
      </c>
      <c r="G26" s="18" t="inlineStr"/>
      <c r="H26" s="25">
        <f>IF(C26="","",SUMPRODUCT(($C$25:C26=C26)*(2*($D$25:D26="Доход")-1)*$F$25:F26))</f>
        <v/>
      </c>
    </row>
    <row r="27">
      <c r="B27" s="23" t="n">
        <v>46030</v>
      </c>
      <c r="C27" s="18" t="inlineStr">
        <is>
          <t>Наличные</t>
        </is>
      </c>
      <c r="D27" s="18" t="inlineStr">
        <is>
          <t>Расход</t>
        </is>
      </c>
      <c r="E27" s="18" t="inlineStr">
        <is>
          <t>Продукты</t>
        </is>
      </c>
      <c r="F27" s="24" t="n">
        <v>7500</v>
      </c>
      <c r="G27" s="18" t="inlineStr"/>
      <c r="H27" s="25">
        <f>IF(C27="","",SUMPRODUCT(($C$25:C27=C27)*(2*($D$25:D27="Доход")-1)*$F$25:F27))</f>
        <v/>
      </c>
    </row>
    <row r="28">
      <c r="B28" s="23" t="n">
        <v>46032</v>
      </c>
      <c r="C28" s="18" t="inlineStr">
        <is>
          <t>Карта Сбербанк</t>
        </is>
      </c>
      <c r="D28" s="18" t="inlineStr">
        <is>
          <t>Расход</t>
        </is>
      </c>
      <c r="E28" s="18" t="inlineStr">
        <is>
          <t>Пополнение вклада</t>
        </is>
      </c>
      <c r="F28" s="24" t="n">
        <v>15000</v>
      </c>
      <c r="G28" s="18" t="inlineStr">
        <is>
          <t>перевод на вклад</t>
        </is>
      </c>
      <c r="H28" s="25">
        <f>IF(C28="","",SUMPRODUCT(($C$25:C28=C28)*(2*($D$25:D28="Доход")-1)*$F$25:F28))</f>
        <v/>
      </c>
    </row>
    <row r="29">
      <c r="B29" s="23" t="n">
        <v>46032</v>
      </c>
      <c r="C29" s="18" t="inlineStr">
        <is>
          <t>Вклад</t>
        </is>
      </c>
      <c r="D29" s="18" t="inlineStr">
        <is>
          <t>Доход</t>
        </is>
      </c>
      <c r="E29" s="18" t="inlineStr">
        <is>
          <t>Пополнение вклада</t>
        </is>
      </c>
      <c r="F29" s="24" t="n">
        <v>15000</v>
      </c>
      <c r="G29" s="18" t="inlineStr"/>
      <c r="H29" s="25">
        <f>IF(C29="","",SUMPRODUCT(($C$25:C29=C29)*(2*($D$25:D29="Доход")-1)*$F$25:F29))</f>
        <v/>
      </c>
    </row>
    <row r="30">
      <c r="B30" s="23" t="n">
        <v>46037</v>
      </c>
      <c r="C30" s="18" t="inlineStr">
        <is>
          <t>Карта Тинькофф</t>
        </is>
      </c>
      <c r="D30" s="18" t="inlineStr">
        <is>
          <t>Доход</t>
        </is>
      </c>
      <c r="E30" s="18" t="inlineStr">
        <is>
          <t>Заказы</t>
        </is>
      </c>
      <c r="F30" s="24" t="n">
        <v>20000</v>
      </c>
      <c r="G30" s="18" t="inlineStr">
        <is>
          <t>у друга</t>
        </is>
      </c>
      <c r="H30" s="25">
        <f>IF(C30="","",SUMPRODUCT(($C$25:C30=C30)*(2*($D$25:D30="Доход")-1)*$F$25:F30))</f>
        <v/>
      </c>
    </row>
    <row r="31">
      <c r="B31" s="23" t="n">
        <v>46040</v>
      </c>
      <c r="C31" s="18" t="inlineStr">
        <is>
          <t>Карта Сбербанк</t>
        </is>
      </c>
      <c r="D31" s="18" t="inlineStr">
        <is>
          <t>Расход</t>
        </is>
      </c>
      <c r="E31" s="18" t="inlineStr">
        <is>
          <t>Кредит</t>
        </is>
      </c>
      <c r="F31" s="24" t="n">
        <v>9000</v>
      </c>
      <c r="G31" s="18" t="inlineStr"/>
      <c r="H31" s="25">
        <f>IF(C31="","",SUMPRODUCT(($C$25:C31=C31)*(2*($D$25:D31="Доход")-1)*$F$25:F31))</f>
        <v/>
      </c>
    </row>
    <row r="32">
      <c r="B32" s="23" t="n">
        <v>46042</v>
      </c>
      <c r="C32" s="18" t="inlineStr">
        <is>
          <t>Наличные</t>
        </is>
      </c>
      <c r="D32" s="18" t="inlineStr">
        <is>
          <t>Доход</t>
        </is>
      </c>
      <c r="E32" s="18" t="inlineStr">
        <is>
          <t>Взял в долг</t>
        </is>
      </c>
      <c r="F32" s="24" t="n">
        <v>10000</v>
      </c>
      <c r="G32" s="18" t="inlineStr"/>
      <c r="H32" s="25">
        <f>IF(C32="","",SUMPRODUCT(($C$25:C32=C32)*(2*($D$25:D32="Доход")-1)*$F$25:F32))</f>
        <v/>
      </c>
    </row>
    <row r="33">
      <c r="B33" s="23" t="n">
        <v>46047</v>
      </c>
      <c r="C33" s="18" t="inlineStr">
        <is>
          <t>Карта Сбербанк</t>
        </is>
      </c>
      <c r="D33" s="18" t="inlineStr">
        <is>
          <t>Расход</t>
        </is>
      </c>
      <c r="E33" s="18" t="inlineStr">
        <is>
          <t>Обучение</t>
        </is>
      </c>
      <c r="F33" s="24" t="n">
        <v>10000</v>
      </c>
      <c r="G33" s="18" t="inlineStr"/>
      <c r="H33" s="25">
        <f>IF(C33="","",SUMPRODUCT(($C$25:C33=C33)*(2*($D$25:D33="Доход")-1)*$F$25:F33))</f>
        <v/>
      </c>
    </row>
    <row r="34">
      <c r="B34" s="23" t="n">
        <v>46055</v>
      </c>
      <c r="C34" s="18" t="inlineStr">
        <is>
          <t>Карта Сбербанк</t>
        </is>
      </c>
      <c r="D34" s="18" t="inlineStr">
        <is>
          <t>Доход</t>
        </is>
      </c>
      <c r="E34" s="18" t="inlineStr">
        <is>
          <t>Зарплата</t>
        </is>
      </c>
      <c r="F34" s="24" t="n">
        <v>75000</v>
      </c>
      <c r="G34" s="18" t="inlineStr"/>
      <c r="H34" s="25">
        <f>IF(C34="","",SUMPRODUCT(($C$25:C34=C34)*(2*($D$25:D34="Доход")-1)*$F$25:F34))</f>
        <v/>
      </c>
    </row>
    <row r="35">
      <c r="B35" s="23" t="n">
        <v>46056</v>
      </c>
      <c r="C35" s="18" t="inlineStr">
        <is>
          <t>Карта Сбербанк</t>
        </is>
      </c>
      <c r="D35" s="18" t="inlineStr">
        <is>
          <t>Расход</t>
        </is>
      </c>
      <c r="E35" s="18" t="inlineStr">
        <is>
          <t>Аренда</t>
        </is>
      </c>
      <c r="F35" s="24" t="n">
        <v>28000</v>
      </c>
      <c r="G35" s="18" t="inlineStr"/>
      <c r="H35" s="25">
        <f>IF(C35="","",SUMPRODUCT(($C$25:C35=C35)*(2*($D$25:D35="Доход")-1)*$F$25:F35))</f>
        <v/>
      </c>
    </row>
    <row r="36">
      <c r="B36" s="23" t="n">
        <v>46058</v>
      </c>
      <c r="C36" s="18" t="inlineStr">
        <is>
          <t>Наличные</t>
        </is>
      </c>
      <c r="D36" s="18" t="inlineStr">
        <is>
          <t>Расход</t>
        </is>
      </c>
      <c r="E36" s="18" t="inlineStr">
        <is>
          <t>Продукты</t>
        </is>
      </c>
      <c r="F36" s="24" t="n">
        <v>8000</v>
      </c>
      <c r="G36" s="18" t="inlineStr"/>
      <c r="H36" s="25">
        <f>IF(C36="","",SUMPRODUCT(($C$25:C36=C36)*(2*($D$25:D36="Доход")-1)*$F$25:F36))</f>
        <v/>
      </c>
    </row>
    <row r="37">
      <c r="B37" s="23" t="n">
        <v>46061</v>
      </c>
      <c r="C37" s="18" t="inlineStr">
        <is>
          <t>Карта Сбербанк</t>
        </is>
      </c>
      <c r="D37" s="18" t="inlineStr">
        <is>
          <t>Расход</t>
        </is>
      </c>
      <c r="E37" s="18" t="inlineStr">
        <is>
          <t>Пополнение вклада</t>
        </is>
      </c>
      <c r="F37" s="24" t="n">
        <v>20000</v>
      </c>
      <c r="G37" s="18" t="inlineStr"/>
      <c r="H37" s="25">
        <f>IF(C37="","",SUMPRODUCT(($C$25:C37=C37)*(2*($D$25:D37="Доход")-1)*$F$25:F37))</f>
        <v/>
      </c>
    </row>
    <row r="38">
      <c r="B38" s="23" t="n">
        <v>46061</v>
      </c>
      <c r="C38" s="18" t="inlineStr">
        <is>
          <t>Вклад</t>
        </is>
      </c>
      <c r="D38" s="18" t="inlineStr">
        <is>
          <t>Доход</t>
        </is>
      </c>
      <c r="E38" s="18" t="inlineStr">
        <is>
          <t>Пополнение вклада</t>
        </is>
      </c>
      <c r="F38" s="24" t="n">
        <v>20000</v>
      </c>
      <c r="G38" s="18" t="inlineStr"/>
      <c r="H38" s="25">
        <f>IF(C38="","",SUMPRODUCT(($C$25:C38=C38)*(2*($D$25:D38="Доход")-1)*$F$25:F38))</f>
        <v/>
      </c>
    </row>
    <row r="39">
      <c r="B39" s="23" t="n">
        <v>46065</v>
      </c>
      <c r="C39" s="18" t="inlineStr">
        <is>
          <t>Карта Тинькофф</t>
        </is>
      </c>
      <c r="D39" s="18" t="inlineStr">
        <is>
          <t>Доход</t>
        </is>
      </c>
      <c r="E39" s="18" t="inlineStr">
        <is>
          <t>Заказы</t>
        </is>
      </c>
      <c r="F39" s="24" t="n">
        <v>30000</v>
      </c>
      <c r="G39" s="18" t="inlineStr"/>
      <c r="H39" s="25">
        <f>IF(C39="","",SUMPRODUCT(($C$25:C39=C39)*(2*($D$25:D39="Доход")-1)*$F$25:F39))</f>
        <v/>
      </c>
    </row>
    <row r="40">
      <c r="B40" s="23" t="n">
        <v>46068</v>
      </c>
      <c r="C40" s="18" t="inlineStr">
        <is>
          <t>Наличные</t>
        </is>
      </c>
      <c r="D40" s="18" t="inlineStr">
        <is>
          <t>Расход</t>
        </is>
      </c>
      <c r="E40" s="18" t="inlineStr">
        <is>
          <t>Вернул долг</t>
        </is>
      </c>
      <c r="F40" s="24" t="n">
        <v>5000</v>
      </c>
      <c r="G40" s="18" t="inlineStr"/>
      <c r="H40" s="25">
        <f>IF(C40="","",SUMPRODUCT(($C$25:C40=C40)*(2*($D$25:D40="Доход")-1)*$F$25:F40))</f>
        <v/>
      </c>
    </row>
    <row r="41">
      <c r="B41" s="23" t="n">
        <v>46071</v>
      </c>
      <c r="C41" s="18" t="inlineStr">
        <is>
          <t>Карта Сбербанк</t>
        </is>
      </c>
      <c r="D41" s="18" t="inlineStr">
        <is>
          <t>Расход</t>
        </is>
      </c>
      <c r="E41" s="18" t="inlineStr">
        <is>
          <t>Ипотека</t>
        </is>
      </c>
      <c r="F41" s="24" t="n">
        <v>18000</v>
      </c>
      <c r="G41" s="18" t="inlineStr"/>
      <c r="H41" s="25">
        <f>IF(C41="","",SUMPRODUCT(($C$25:C41=C41)*(2*($D$25:D41="Доход")-1)*$F$25:F41))</f>
        <v/>
      </c>
    </row>
    <row r="42">
      <c r="B42" s="18" t="n"/>
      <c r="C42" s="18" t="n"/>
      <c r="D42" s="18" t="n"/>
      <c r="E42" s="18" t="n"/>
      <c r="F42" s="24" t="n"/>
      <c r="G42" s="18" t="n"/>
      <c r="H42" s="25">
        <f>IF(C42="","",SUMPRODUCT(($C$25:C42=C42)*(2*($D$25:D42="Доход")-1)*$F$25:F42))</f>
        <v/>
      </c>
    </row>
    <row r="43">
      <c r="B43" s="18" t="n"/>
      <c r="C43" s="18" t="n"/>
      <c r="D43" s="18" t="n"/>
      <c r="E43" s="18" t="n"/>
      <c r="F43" s="24" t="n"/>
      <c r="G43" s="18" t="n"/>
      <c r="H43" s="25">
        <f>IF(C43="","",SUMPRODUCT(($C$25:C43=C43)*(2*($D$25:D43="Доход")-1)*$F$25:F43))</f>
        <v/>
      </c>
    </row>
    <row r="44">
      <c r="B44" s="18" t="n"/>
      <c r="C44" s="18" t="n"/>
      <c r="D44" s="18" t="n"/>
      <c r="E44" s="18" t="n"/>
      <c r="F44" s="24" t="n"/>
      <c r="G44" s="18" t="n"/>
      <c r="H44" s="25">
        <f>IF(C44="","",SUMPRODUCT(($C$25:C44=C44)*(2*($D$25:D44="Доход")-1)*$F$25:F44))</f>
        <v/>
      </c>
    </row>
    <row r="45">
      <c r="B45" s="18" t="n"/>
      <c r="C45" s="18" t="n"/>
      <c r="D45" s="18" t="n"/>
      <c r="E45" s="18" t="n"/>
      <c r="F45" s="24" t="n"/>
      <c r="G45" s="18" t="n"/>
      <c r="H45" s="25">
        <f>IF(C45="","",SUMPRODUCT(($C$25:C45=C45)*(2*($D$25:D45="Доход")-1)*$F$25:F45))</f>
        <v/>
      </c>
    </row>
    <row r="46">
      <c r="B46" s="18" t="n"/>
      <c r="C46" s="18" t="n"/>
      <c r="D46" s="18" t="n"/>
      <c r="E46" s="18" t="n"/>
      <c r="F46" s="24" t="n"/>
      <c r="G46" s="18" t="n"/>
      <c r="H46" s="25">
        <f>IF(C46="","",SUMPRODUCT(($C$25:C46=C46)*(2*($D$25:D46="Доход")-1)*$F$25:F46))</f>
        <v/>
      </c>
    </row>
    <row r="47">
      <c r="B47" s="18" t="n"/>
      <c r="C47" s="18" t="n"/>
      <c r="D47" s="18" t="n"/>
      <c r="E47" s="18" t="n"/>
      <c r="F47" s="24" t="n"/>
      <c r="G47" s="18" t="n"/>
      <c r="H47" s="25">
        <f>IF(C47="","",SUMPRODUCT(($C$25:C47=C47)*(2*($D$25:D47="Доход")-1)*$F$25:F47))</f>
        <v/>
      </c>
    </row>
    <row r="48">
      <c r="B48" s="18" t="n"/>
      <c r="C48" s="18" t="n"/>
      <c r="D48" s="18" t="n"/>
      <c r="E48" s="18" t="n"/>
      <c r="F48" s="24" t="n"/>
      <c r="G48" s="18" t="n"/>
      <c r="H48" s="25">
        <f>IF(C48="","",SUMPRODUCT(($C$25:C48=C48)*(2*($D$25:D48="Доход")-1)*$F$25:F48))</f>
        <v/>
      </c>
    </row>
    <row r="49">
      <c r="B49" s="18" t="n"/>
      <c r="C49" s="18" t="n"/>
      <c r="D49" s="18" t="n"/>
      <c r="E49" s="18" t="n"/>
      <c r="F49" s="24" t="n"/>
      <c r="G49" s="18" t="n"/>
      <c r="H49" s="25">
        <f>IF(C49="","",SUMPRODUCT(($C$25:C49=C49)*(2*($D$25:D49="Доход")-1)*$F$25:F49))</f>
        <v/>
      </c>
    </row>
    <row r="50">
      <c r="B50" s="18" t="n"/>
      <c r="C50" s="18" t="n"/>
      <c r="D50" s="18" t="n"/>
      <c r="E50" s="18" t="n"/>
      <c r="F50" s="24" t="n"/>
      <c r="G50" s="18" t="n"/>
      <c r="H50" s="25">
        <f>IF(C50="","",SUMPRODUCT(($C$25:C50=C50)*(2*($D$25:D50="Доход")-1)*$F$25:F50))</f>
        <v/>
      </c>
    </row>
    <row r="51">
      <c r="B51" s="18" t="n"/>
      <c r="C51" s="18" t="n"/>
      <c r="D51" s="18" t="n"/>
      <c r="E51" s="18" t="n"/>
      <c r="F51" s="24" t="n"/>
      <c r="G51" s="18" t="n"/>
      <c r="H51" s="25">
        <f>IF(C51="","",SUMPRODUCT(($C$25:C51=C51)*(2*($D$25:D51="Доход")-1)*$F$25:F51))</f>
        <v/>
      </c>
    </row>
    <row r="52">
      <c r="B52" s="18" t="n"/>
      <c r="C52" s="18" t="n"/>
      <c r="D52" s="18" t="n"/>
      <c r="E52" s="18" t="n"/>
      <c r="F52" s="24" t="n"/>
      <c r="G52" s="18" t="n"/>
      <c r="H52" s="25">
        <f>IF(C52="","",SUMPRODUCT(($C$25:C52=C52)*(2*($D$25:D52="Доход")-1)*$F$25:F52))</f>
        <v/>
      </c>
    </row>
    <row r="53">
      <c r="B53" s="18" t="n"/>
      <c r="C53" s="18" t="n"/>
      <c r="D53" s="18" t="n"/>
      <c r="E53" s="18" t="n"/>
      <c r="F53" s="24" t="n"/>
      <c r="G53" s="18" t="n"/>
      <c r="H53" s="25">
        <f>IF(C53="","",SUMPRODUCT(($C$25:C53=C53)*(2*($D$25:D53="Доход")-1)*$F$25:F53))</f>
        <v/>
      </c>
    </row>
    <row r="54">
      <c r="B54" s="18" t="n"/>
      <c r="C54" s="18" t="n"/>
      <c r="D54" s="18" t="n"/>
      <c r="E54" s="18" t="n"/>
      <c r="F54" s="24" t="n"/>
      <c r="G54" s="18" t="n"/>
      <c r="H54" s="25">
        <f>IF(C54="","",SUMPRODUCT(($C$25:C54=C54)*(2*($D$25:D54="Доход")-1)*$F$25:F54))</f>
        <v/>
      </c>
    </row>
    <row r="55">
      <c r="B55" s="18" t="n"/>
      <c r="C55" s="18" t="n"/>
      <c r="D55" s="18" t="n"/>
      <c r="E55" s="18" t="n"/>
      <c r="F55" s="24" t="n"/>
      <c r="G55" s="18" t="n"/>
      <c r="H55" s="25">
        <f>IF(C55="","",SUMPRODUCT(($C$25:C55=C55)*(2*($D$25:D55="Доход")-1)*$F$25:F55))</f>
        <v/>
      </c>
    </row>
    <row r="56">
      <c r="B56" s="18" t="n"/>
      <c r="C56" s="18" t="n"/>
      <c r="D56" s="18" t="n"/>
      <c r="E56" s="18" t="n"/>
      <c r="F56" s="24" t="n"/>
      <c r="G56" s="18" t="n"/>
      <c r="H56" s="25">
        <f>IF(C56="","",SUMPRODUCT(($C$25:C56=C56)*(2*($D$25:D56="Доход")-1)*$F$25:F56))</f>
        <v/>
      </c>
    </row>
    <row r="57">
      <c r="B57" s="18" t="n"/>
      <c r="C57" s="18" t="n"/>
      <c r="D57" s="18" t="n"/>
      <c r="E57" s="18" t="n"/>
      <c r="F57" s="24" t="n"/>
      <c r="G57" s="18" t="n"/>
      <c r="H57" s="25">
        <f>IF(C57="","",SUMPRODUCT(($C$25:C57=C57)*(2*($D$25:D57="Доход")-1)*$F$25:F57))</f>
        <v/>
      </c>
    </row>
    <row r="58">
      <c r="B58" s="18" t="n"/>
      <c r="C58" s="18" t="n"/>
      <c r="D58" s="18" t="n"/>
      <c r="E58" s="18" t="n"/>
      <c r="F58" s="24" t="n"/>
      <c r="G58" s="18" t="n"/>
      <c r="H58" s="25">
        <f>IF(C58="","",SUMPRODUCT(($C$25:C58=C58)*(2*($D$25:D58="Доход")-1)*$F$25:F58))</f>
        <v/>
      </c>
    </row>
    <row r="59">
      <c r="B59" s="18" t="n"/>
      <c r="C59" s="18" t="n"/>
      <c r="D59" s="18" t="n"/>
      <c r="E59" s="18" t="n"/>
      <c r="F59" s="24" t="n"/>
      <c r="G59" s="18" t="n"/>
      <c r="H59" s="25">
        <f>IF(C59="","",SUMPRODUCT(($C$25:C59=C59)*(2*($D$25:D59="Доход")-1)*$F$25:F59))</f>
        <v/>
      </c>
    </row>
    <row r="60">
      <c r="B60" s="18" t="n"/>
      <c r="C60" s="18" t="n"/>
      <c r="D60" s="18" t="n"/>
      <c r="E60" s="18" t="n"/>
      <c r="F60" s="24" t="n"/>
      <c r="G60" s="18" t="n"/>
      <c r="H60" s="25">
        <f>IF(C60="","",SUMPRODUCT(($C$25:C60=C60)*(2*($D$25:D60="Доход")-1)*$F$25:F60))</f>
        <v/>
      </c>
    </row>
    <row r="61">
      <c r="B61" s="18" t="n"/>
      <c r="C61" s="18" t="n"/>
      <c r="D61" s="18" t="n"/>
      <c r="E61" s="18" t="n"/>
      <c r="F61" s="24" t="n"/>
      <c r="G61" s="18" t="n"/>
      <c r="H61" s="25">
        <f>IF(C61="","",SUMPRODUCT(($C$25:C61=C61)*(2*($D$25:D61="Доход")-1)*$F$25:F61))</f>
        <v/>
      </c>
    </row>
    <row r="62">
      <c r="B62" s="18" t="n"/>
      <c r="C62" s="18" t="n"/>
      <c r="D62" s="18" t="n"/>
      <c r="E62" s="18" t="n"/>
      <c r="F62" s="24" t="n"/>
      <c r="G62" s="18" t="n"/>
      <c r="H62" s="25">
        <f>IF(C62="","",SUMPRODUCT(($C$25:C62=C62)*(2*($D$25:D62="Доход")-1)*$F$25:F62))</f>
        <v/>
      </c>
    </row>
    <row r="63">
      <c r="B63" s="18" t="n"/>
      <c r="C63" s="18" t="n"/>
      <c r="D63" s="18" t="n"/>
      <c r="E63" s="18" t="n"/>
      <c r="F63" s="24" t="n"/>
      <c r="G63" s="18" t="n"/>
      <c r="H63" s="25">
        <f>IF(C63="","",SUMPRODUCT(($C$25:C63=C63)*(2*($D$25:D63="Доход")-1)*$F$25:F63))</f>
        <v/>
      </c>
    </row>
    <row r="64">
      <c r="B64" s="18" t="n"/>
      <c r="C64" s="18" t="n"/>
      <c r="D64" s="18" t="n"/>
      <c r="E64" s="18" t="n"/>
      <c r="F64" s="24" t="n"/>
      <c r="G64" s="18" t="n"/>
      <c r="H64" s="25">
        <f>IF(C64="","",SUMPRODUCT(($C$25:C64=C64)*(2*($D$25:D64="Доход")-1)*$F$25:F64))</f>
        <v/>
      </c>
    </row>
    <row r="65">
      <c r="B65" s="18" t="n"/>
      <c r="C65" s="18" t="n"/>
      <c r="D65" s="18" t="n"/>
      <c r="E65" s="18" t="n"/>
      <c r="F65" s="24" t="n"/>
      <c r="G65" s="18" t="n"/>
      <c r="H65" s="25">
        <f>IF(C65="","",SUMPRODUCT(($C$25:C65=C65)*(2*($D$25:D65="Доход")-1)*$F$25:F65))</f>
        <v/>
      </c>
    </row>
    <row r="66">
      <c r="B66" s="18" t="n"/>
      <c r="C66" s="18" t="n"/>
      <c r="D66" s="18" t="n"/>
      <c r="E66" s="18" t="n"/>
      <c r="F66" s="24" t="n"/>
      <c r="G66" s="18" t="n"/>
      <c r="H66" s="25">
        <f>IF(C66="","",SUMPRODUCT(($C$25:C66=C66)*(2*($D$25:D66="Доход")-1)*$F$25:F66))</f>
        <v/>
      </c>
    </row>
    <row r="67">
      <c r="B67" s="18" t="n"/>
      <c r="C67" s="18" t="n"/>
      <c r="D67" s="18" t="n"/>
      <c r="E67" s="18" t="n"/>
      <c r="F67" s="24" t="n"/>
      <c r="G67" s="18" t="n"/>
      <c r="H67" s="25">
        <f>IF(C67="","",SUMPRODUCT(($C$25:C67=C67)*(2*($D$25:D67="Доход")-1)*$F$25:F67))</f>
        <v/>
      </c>
    </row>
    <row r="68">
      <c r="B68" s="18" t="n"/>
      <c r="C68" s="18" t="n"/>
      <c r="D68" s="18" t="n"/>
      <c r="E68" s="18" t="n"/>
      <c r="F68" s="24" t="n"/>
      <c r="G68" s="18" t="n"/>
      <c r="H68" s="25">
        <f>IF(C68="","",SUMPRODUCT(($C$25:C68=C68)*(2*($D$25:D68="Доход")-1)*$F$25:F68))</f>
        <v/>
      </c>
    </row>
    <row r="69">
      <c r="B69" s="18" t="n"/>
      <c r="C69" s="18" t="n"/>
      <c r="D69" s="18" t="n"/>
      <c r="E69" s="18" t="n"/>
      <c r="F69" s="24" t="n"/>
      <c r="G69" s="18" t="n"/>
      <c r="H69" s="25">
        <f>IF(C69="","",SUMPRODUCT(($C$25:C69=C69)*(2*($D$25:D69="Доход")-1)*$F$25:F69))</f>
        <v/>
      </c>
    </row>
    <row r="70">
      <c r="B70" s="18" t="n"/>
      <c r="C70" s="18" t="n"/>
      <c r="D70" s="18" t="n"/>
      <c r="E70" s="18" t="n"/>
      <c r="F70" s="24" t="n"/>
      <c r="G70" s="18" t="n"/>
      <c r="H70" s="25">
        <f>IF(C70="","",SUMPRODUCT(($C$25:C70=C70)*(2*($D$25:D70="Доход")-1)*$F$25:F70))</f>
        <v/>
      </c>
    </row>
    <row r="71">
      <c r="B71" s="18" t="n"/>
      <c r="C71" s="18" t="n"/>
      <c r="D71" s="18" t="n"/>
      <c r="E71" s="18" t="n"/>
      <c r="F71" s="24" t="n"/>
      <c r="G71" s="18" t="n"/>
      <c r="H71" s="25">
        <f>IF(C71="","",SUMPRODUCT(($C$25:C71=C71)*(2*($D$25:D71="Доход")-1)*$F$25:F71))</f>
        <v/>
      </c>
    </row>
    <row r="72">
      <c r="B72" s="18" t="n"/>
      <c r="C72" s="18" t="n"/>
      <c r="D72" s="18" t="n"/>
      <c r="E72" s="18" t="n"/>
      <c r="F72" s="24" t="n"/>
      <c r="G72" s="18" t="n"/>
      <c r="H72" s="25">
        <f>IF(C72="","",SUMPRODUCT(($C$25:C72=C72)*(2*($D$25:D72="Доход")-1)*$F$25:F72))</f>
        <v/>
      </c>
    </row>
    <row r="73">
      <c r="B73" s="18" t="n"/>
      <c r="C73" s="18" t="n"/>
      <c r="D73" s="18" t="n"/>
      <c r="E73" s="18" t="n"/>
      <c r="F73" s="24" t="n"/>
      <c r="G73" s="18" t="n"/>
      <c r="H73" s="25">
        <f>IF(C73="","",SUMPRODUCT(($C$25:C73=C73)*(2*($D$25:D73="Доход")-1)*$F$25:F73))</f>
        <v/>
      </c>
    </row>
    <row r="74">
      <c r="B74" s="18" t="n"/>
      <c r="C74" s="18" t="n"/>
      <c r="D74" s="18" t="n"/>
      <c r="E74" s="18" t="n"/>
      <c r="F74" s="24" t="n"/>
      <c r="G74" s="18" t="n"/>
      <c r="H74" s="25">
        <f>IF(C74="","",SUMPRODUCT(($C$25:C74=C74)*(2*($D$25:D74="Доход")-1)*$F$25:F74))</f>
        <v/>
      </c>
    </row>
    <row r="75">
      <c r="B75" s="18" t="n"/>
      <c r="C75" s="18" t="n"/>
      <c r="D75" s="18" t="n"/>
      <c r="E75" s="18" t="n"/>
      <c r="F75" s="24" t="n"/>
      <c r="G75" s="18" t="n"/>
      <c r="H75" s="25">
        <f>IF(C75="","",SUMPRODUCT(($C$25:C75=C75)*(2*($D$25:D75="Доход")-1)*$F$25:F75))</f>
        <v/>
      </c>
    </row>
    <row r="76">
      <c r="B76" s="18" t="n"/>
      <c r="C76" s="18" t="n"/>
      <c r="D76" s="18" t="n"/>
      <c r="E76" s="18" t="n"/>
      <c r="F76" s="24" t="n"/>
      <c r="G76" s="18" t="n"/>
      <c r="H76" s="25">
        <f>IF(C76="","",SUMPRODUCT(($C$25:C76=C76)*(2*($D$25:D76="Доход")-1)*$F$25:F76))</f>
        <v/>
      </c>
    </row>
    <row r="77">
      <c r="B77" s="18" t="n"/>
      <c r="C77" s="18" t="n"/>
      <c r="D77" s="18" t="n"/>
      <c r="E77" s="18" t="n"/>
      <c r="F77" s="24" t="n"/>
      <c r="G77" s="18" t="n"/>
      <c r="H77" s="25">
        <f>IF(C77="","",SUMPRODUCT(($C$25:C77=C77)*(2*($D$25:D77="Доход")-1)*$F$25:F77))</f>
        <v/>
      </c>
    </row>
    <row r="78">
      <c r="B78" s="18" t="n"/>
      <c r="C78" s="18" t="n"/>
      <c r="D78" s="18" t="n"/>
      <c r="E78" s="18" t="n"/>
      <c r="F78" s="24" t="n"/>
      <c r="G78" s="18" t="n"/>
      <c r="H78" s="25">
        <f>IF(C78="","",SUMPRODUCT(($C$25:C78=C78)*(2*($D$25:D78="Доход")-1)*$F$25:F78))</f>
        <v/>
      </c>
    </row>
    <row r="79">
      <c r="B79" s="18" t="n"/>
      <c r="C79" s="18" t="n"/>
      <c r="D79" s="18" t="n"/>
      <c r="E79" s="18" t="n"/>
      <c r="F79" s="24" t="n"/>
      <c r="G79" s="18" t="n"/>
      <c r="H79" s="25">
        <f>IF(C79="","",SUMPRODUCT(($C$25:C79=C79)*(2*($D$25:D79="Доход")-1)*$F$25:F79))</f>
        <v/>
      </c>
    </row>
    <row r="80">
      <c r="B80" s="18" t="n"/>
      <c r="C80" s="18" t="n"/>
      <c r="D80" s="18" t="n"/>
      <c r="E80" s="18" t="n"/>
      <c r="F80" s="24" t="n"/>
      <c r="G80" s="18" t="n"/>
      <c r="H80" s="25">
        <f>IF(C80="","",SUMPRODUCT(($C$25:C80=C80)*(2*($D$25:D80="Доход")-1)*$F$25:F80))</f>
        <v/>
      </c>
    </row>
    <row r="81">
      <c r="B81" s="18" t="n"/>
      <c r="C81" s="18" t="n"/>
      <c r="D81" s="18" t="n"/>
      <c r="E81" s="18" t="n"/>
      <c r="F81" s="24" t="n"/>
      <c r="G81" s="18" t="n"/>
      <c r="H81" s="25">
        <f>IF(C81="","",SUMPRODUCT(($C$25:C81=C81)*(2*($D$25:D81="Доход")-1)*$F$25:F81))</f>
        <v/>
      </c>
    </row>
    <row r="82">
      <c r="B82" s="18" t="n"/>
      <c r="C82" s="18" t="n"/>
      <c r="D82" s="18" t="n"/>
      <c r="E82" s="18" t="n"/>
      <c r="F82" s="24" t="n"/>
      <c r="G82" s="18" t="n"/>
      <c r="H82" s="25">
        <f>IF(C82="","",SUMPRODUCT(($C$25:C82=C82)*(2*($D$25:D82="Доход")-1)*$F$25:F82))</f>
        <v/>
      </c>
    </row>
    <row r="83">
      <c r="B83" s="18" t="n"/>
      <c r="C83" s="18" t="n"/>
      <c r="D83" s="18" t="n"/>
      <c r="E83" s="18" t="n"/>
      <c r="F83" s="24" t="n"/>
      <c r="G83" s="18" t="n"/>
      <c r="H83" s="25">
        <f>IF(C83="","",SUMPRODUCT(($C$25:C83=C83)*(2*($D$25:D83="Доход")-1)*$F$25:F83))</f>
        <v/>
      </c>
    </row>
    <row r="84">
      <c r="B84" s="18" t="n"/>
      <c r="C84" s="18" t="n"/>
      <c r="D84" s="18" t="n"/>
      <c r="E84" s="18" t="n"/>
      <c r="F84" s="24" t="n"/>
      <c r="G84" s="18" t="n"/>
      <c r="H84" s="25">
        <f>IF(C84="","",SUMPRODUCT(($C$25:C84=C84)*(2*($D$25:D84="Доход")-1)*$F$25:F84))</f>
        <v/>
      </c>
    </row>
    <row r="85">
      <c r="B85" s="18" t="n"/>
      <c r="C85" s="18" t="n"/>
      <c r="D85" s="18" t="n"/>
      <c r="E85" s="18" t="n"/>
      <c r="F85" s="24" t="n"/>
      <c r="G85" s="18" t="n"/>
      <c r="H85" s="25">
        <f>IF(C85="","",SUMPRODUCT(($C$25:C85=C85)*(2*($D$25:D85="Доход")-1)*$F$25:F85))</f>
        <v/>
      </c>
    </row>
    <row r="86">
      <c r="B86" s="18" t="n"/>
      <c r="C86" s="18" t="n"/>
      <c r="D86" s="18" t="n"/>
      <c r="E86" s="18" t="n"/>
      <c r="F86" s="24" t="n"/>
      <c r="G86" s="18" t="n"/>
      <c r="H86" s="25">
        <f>IF(C86="","",SUMPRODUCT(($C$25:C86=C86)*(2*($D$25:D86="Доход")-1)*$F$25:F86))</f>
        <v/>
      </c>
    </row>
    <row r="87">
      <c r="B87" s="18" t="n"/>
      <c r="C87" s="18" t="n"/>
      <c r="D87" s="18" t="n"/>
      <c r="E87" s="18" t="n"/>
      <c r="F87" s="24" t="n"/>
      <c r="G87" s="18" t="n"/>
      <c r="H87" s="25">
        <f>IF(C87="","",SUMPRODUCT(($C$25:C87=C87)*(2*($D$25:D87="Доход")-1)*$F$25:F87))</f>
        <v/>
      </c>
    </row>
    <row r="88">
      <c r="B88" s="18" t="n"/>
      <c r="C88" s="18" t="n"/>
      <c r="D88" s="18" t="n"/>
      <c r="E88" s="18" t="n"/>
      <c r="F88" s="24" t="n"/>
      <c r="G88" s="18" t="n"/>
      <c r="H88" s="25">
        <f>IF(C88="","",SUMPRODUCT(($C$25:C88=C88)*(2*($D$25:D88="Доход")-1)*$F$25:F88))</f>
        <v/>
      </c>
    </row>
    <row r="89">
      <c r="B89" s="18" t="n"/>
      <c r="C89" s="18" t="n"/>
      <c r="D89" s="18" t="n"/>
      <c r="E89" s="18" t="n"/>
      <c r="F89" s="24" t="n"/>
      <c r="G89" s="18" t="n"/>
      <c r="H89" s="25">
        <f>IF(C89="","",SUMPRODUCT(($C$25:C89=C89)*(2*($D$25:D89="Доход")-1)*$F$25:F89))</f>
        <v/>
      </c>
    </row>
    <row r="90">
      <c r="B90" s="18" t="n"/>
      <c r="C90" s="18" t="n"/>
      <c r="D90" s="18" t="n"/>
      <c r="E90" s="18" t="n"/>
      <c r="F90" s="24" t="n"/>
      <c r="G90" s="18" t="n"/>
      <c r="H90" s="25">
        <f>IF(C90="","",SUMPRODUCT(($C$25:C90=C90)*(2*($D$25:D90="Доход")-1)*$F$25:F90))</f>
        <v/>
      </c>
    </row>
    <row r="91">
      <c r="B91" s="18" t="n"/>
      <c r="C91" s="18" t="n"/>
      <c r="D91" s="18" t="n"/>
      <c r="E91" s="18" t="n"/>
      <c r="F91" s="24" t="n"/>
      <c r="G91" s="18" t="n"/>
      <c r="H91" s="25">
        <f>IF(C91="","",SUMPRODUCT(($C$25:C91=C91)*(2*($D$25:D91="Доход")-1)*$F$25:F91))</f>
        <v/>
      </c>
    </row>
    <row r="92">
      <c r="B92" s="18" t="n"/>
      <c r="C92" s="18" t="n"/>
      <c r="D92" s="18" t="n"/>
      <c r="E92" s="18" t="n"/>
      <c r="F92" s="24" t="n"/>
      <c r="G92" s="18" t="n"/>
      <c r="H92" s="25">
        <f>IF(C92="","",SUMPRODUCT(($C$25:C92=C92)*(2*($D$25:D92="Доход")-1)*$F$25:F92))</f>
        <v/>
      </c>
    </row>
    <row r="93">
      <c r="B93" s="18" t="n"/>
      <c r="C93" s="18" t="n"/>
      <c r="D93" s="18" t="n"/>
      <c r="E93" s="18" t="n"/>
      <c r="F93" s="24" t="n"/>
      <c r="G93" s="18" t="n"/>
      <c r="H93" s="25">
        <f>IF(C93="","",SUMPRODUCT(($C$25:C93=C93)*(2*($D$25:D93="Доход")-1)*$F$25:F93))</f>
        <v/>
      </c>
    </row>
    <row r="94">
      <c r="B94" s="18" t="n"/>
      <c r="C94" s="18" t="n"/>
      <c r="D94" s="18" t="n"/>
      <c r="E94" s="18" t="n"/>
      <c r="F94" s="24" t="n"/>
      <c r="G94" s="18" t="n"/>
      <c r="H94" s="25">
        <f>IF(C94="","",SUMPRODUCT(($C$25:C94=C94)*(2*($D$25:D94="Доход")-1)*$F$25:F94))</f>
        <v/>
      </c>
    </row>
    <row r="95">
      <c r="B95" s="18" t="n"/>
      <c r="C95" s="18" t="n"/>
      <c r="D95" s="18" t="n"/>
      <c r="E95" s="18" t="n"/>
      <c r="F95" s="24" t="n"/>
      <c r="G95" s="18" t="n"/>
      <c r="H95" s="25">
        <f>IF(C95="","",SUMPRODUCT(($C$25:C95=C95)*(2*($D$25:D95="Доход")-1)*$F$25:F95))</f>
        <v/>
      </c>
    </row>
    <row r="96">
      <c r="B96" s="18" t="n"/>
      <c r="C96" s="18" t="n"/>
      <c r="D96" s="18" t="n"/>
      <c r="E96" s="18" t="n"/>
      <c r="F96" s="24" t="n"/>
      <c r="G96" s="18" t="n"/>
      <c r="H96" s="25">
        <f>IF(C96="","",SUMPRODUCT(($C$25:C96=C96)*(2*($D$25:D96="Доход")-1)*$F$25:F96))</f>
        <v/>
      </c>
    </row>
    <row r="97">
      <c r="B97" s="18" t="n"/>
      <c r="C97" s="18" t="n"/>
      <c r="D97" s="18" t="n"/>
      <c r="E97" s="18" t="n"/>
      <c r="F97" s="24" t="n"/>
      <c r="G97" s="18" t="n"/>
      <c r="H97" s="25">
        <f>IF(C97="","",SUMPRODUCT(($C$25:C97=C97)*(2*($D$25:D97="Доход")-1)*$F$25:F97))</f>
        <v/>
      </c>
    </row>
    <row r="98">
      <c r="B98" s="18" t="n"/>
      <c r="C98" s="18" t="n"/>
      <c r="D98" s="18" t="n"/>
      <c r="E98" s="18" t="n"/>
      <c r="F98" s="24" t="n"/>
      <c r="G98" s="18" t="n"/>
      <c r="H98" s="25">
        <f>IF(C98="","",SUMPRODUCT(($C$25:C98=C98)*(2*($D$25:D98="Доход")-1)*$F$25:F98))</f>
        <v/>
      </c>
    </row>
    <row r="99">
      <c r="B99" s="18" t="n"/>
      <c r="C99" s="18" t="n"/>
      <c r="D99" s="18" t="n"/>
      <c r="E99" s="18" t="n"/>
      <c r="F99" s="24" t="n"/>
      <c r="G99" s="18" t="n"/>
      <c r="H99" s="25">
        <f>IF(C99="","",SUMPRODUCT(($C$25:C99=C99)*(2*($D$25:D99="Доход")-1)*$F$25:F99))</f>
        <v/>
      </c>
    </row>
    <row r="100">
      <c r="B100" s="18" t="n"/>
      <c r="C100" s="18" t="n"/>
      <c r="D100" s="18" t="n"/>
      <c r="E100" s="18" t="n"/>
      <c r="F100" s="24" t="n"/>
      <c r="G100" s="18" t="n"/>
      <c r="H100" s="25">
        <f>IF(C100="","",SUMPRODUCT(($C$25:C100=C100)*(2*($D$25:D100="Доход")-1)*$F$25:F100))</f>
        <v/>
      </c>
    </row>
    <row r="101">
      <c r="B101" s="18" t="n"/>
      <c r="C101" s="18" t="n"/>
      <c r="D101" s="18" t="n"/>
      <c r="E101" s="18" t="n"/>
      <c r="F101" s="24" t="n"/>
      <c r="G101" s="18" t="n"/>
      <c r="H101" s="25">
        <f>IF(C101="","",SUMPRODUCT(($C$25:C101=C101)*(2*($D$25:D101="Доход")-1)*$F$25:F101))</f>
        <v/>
      </c>
    </row>
    <row r="102">
      <c r="B102" s="18" t="n"/>
      <c r="C102" s="18" t="n"/>
      <c r="D102" s="18" t="n"/>
      <c r="E102" s="18" t="n"/>
      <c r="F102" s="24" t="n"/>
      <c r="G102" s="18" t="n"/>
      <c r="H102" s="25">
        <f>IF(C102="","",SUMPRODUCT(($C$25:C102=C102)*(2*($D$25:D102="Доход")-1)*$F$25:F102))</f>
        <v/>
      </c>
    </row>
    <row r="103">
      <c r="B103" s="18" t="n"/>
      <c r="C103" s="18" t="n"/>
      <c r="D103" s="18" t="n"/>
      <c r="E103" s="18" t="n"/>
      <c r="F103" s="24" t="n"/>
      <c r="G103" s="18" t="n"/>
      <c r="H103" s="25">
        <f>IF(C103="","",SUMPRODUCT(($C$25:C103=C103)*(2*($D$25:D103="Доход")-1)*$F$25:F103))</f>
        <v/>
      </c>
    </row>
    <row r="104">
      <c r="B104" s="18" t="n"/>
      <c r="C104" s="18" t="n"/>
      <c r="D104" s="18" t="n"/>
      <c r="E104" s="18" t="n"/>
      <c r="F104" s="24" t="n"/>
      <c r="G104" s="18" t="n"/>
      <c r="H104" s="25">
        <f>IF(C104="","",SUMPRODUCT(($C$25:C104=C104)*(2*($D$25:D104="Доход")-1)*$F$25:F104))</f>
        <v/>
      </c>
    </row>
    <row r="105">
      <c r="B105" s="18" t="n"/>
      <c r="C105" s="18" t="n"/>
      <c r="D105" s="18" t="n"/>
      <c r="E105" s="18" t="n"/>
      <c r="F105" s="24" t="n"/>
      <c r="G105" s="18" t="n"/>
      <c r="H105" s="25">
        <f>IF(C105="","",SUMPRODUCT(($C$25:C105=C105)*(2*($D$25:D105="Доход")-1)*$F$25:F105))</f>
        <v/>
      </c>
    </row>
    <row r="106">
      <c r="B106" s="18" t="n"/>
      <c r="C106" s="18" t="n"/>
      <c r="D106" s="18" t="n"/>
      <c r="E106" s="18" t="n"/>
      <c r="F106" s="24" t="n"/>
      <c r="G106" s="18" t="n"/>
      <c r="H106" s="25">
        <f>IF(C106="","",SUMPRODUCT(($C$25:C106=C106)*(2*($D$25:D106="Доход")-1)*$F$25:F106))</f>
        <v/>
      </c>
    </row>
    <row r="107">
      <c r="B107" s="18" t="n"/>
      <c r="C107" s="18" t="n"/>
      <c r="D107" s="18" t="n"/>
      <c r="E107" s="18" t="n"/>
      <c r="F107" s="24" t="n"/>
      <c r="G107" s="18" t="n"/>
      <c r="H107" s="25">
        <f>IF(C107="","",SUMPRODUCT(($C$25:C107=C107)*(2*($D$25:D107="Доход")-1)*$F$25:F107))</f>
        <v/>
      </c>
    </row>
    <row r="108">
      <c r="B108" s="18" t="n"/>
      <c r="C108" s="18" t="n"/>
      <c r="D108" s="18" t="n"/>
      <c r="E108" s="18" t="n"/>
      <c r="F108" s="24" t="n"/>
      <c r="G108" s="18" t="n"/>
      <c r="H108" s="25">
        <f>IF(C108="","",SUMPRODUCT(($C$25:C108=C108)*(2*($D$25:D108="Доход")-1)*$F$25:F108))</f>
        <v/>
      </c>
    </row>
    <row r="109">
      <c r="B109" s="18" t="n"/>
      <c r="C109" s="18" t="n"/>
      <c r="D109" s="18" t="n"/>
      <c r="E109" s="18" t="n"/>
      <c r="F109" s="24" t="n"/>
      <c r="G109" s="18" t="n"/>
      <c r="H109" s="25">
        <f>IF(C109="","",SUMPRODUCT(($C$25:C109=C109)*(2*($D$25:D109="Доход")-1)*$F$25:F109))</f>
        <v/>
      </c>
    </row>
    <row r="110">
      <c r="B110" s="18" t="n"/>
      <c r="C110" s="18" t="n"/>
      <c r="D110" s="18" t="n"/>
      <c r="E110" s="18" t="n"/>
      <c r="F110" s="24" t="n"/>
      <c r="G110" s="18" t="n"/>
      <c r="H110" s="25">
        <f>IF(C110="","",SUMPRODUCT(($C$25:C110=C110)*(2*($D$25:D110="Доход")-1)*$F$25:F110))</f>
        <v/>
      </c>
    </row>
    <row r="111">
      <c r="B111" s="18" t="n"/>
      <c r="C111" s="18" t="n"/>
      <c r="D111" s="18" t="n"/>
      <c r="E111" s="18" t="n"/>
      <c r="F111" s="24" t="n"/>
      <c r="G111" s="18" t="n"/>
      <c r="H111" s="25">
        <f>IF(C111="","",SUMPRODUCT(($C$25:C111=C111)*(2*($D$25:D111="Доход")-1)*$F$25:F111))</f>
        <v/>
      </c>
    </row>
    <row r="112">
      <c r="B112" s="18" t="n"/>
      <c r="C112" s="18" t="n"/>
      <c r="D112" s="18" t="n"/>
      <c r="E112" s="18" t="n"/>
      <c r="F112" s="24" t="n"/>
      <c r="G112" s="18" t="n"/>
      <c r="H112" s="25">
        <f>IF(C112="","",SUMPRODUCT(($C$25:C112=C112)*(2*($D$25:D112="Доход")-1)*$F$25:F112))</f>
        <v/>
      </c>
    </row>
    <row r="113">
      <c r="B113" s="18" t="n"/>
      <c r="C113" s="18" t="n"/>
      <c r="D113" s="18" t="n"/>
      <c r="E113" s="18" t="n"/>
      <c r="F113" s="24" t="n"/>
      <c r="G113" s="18" t="n"/>
      <c r="H113" s="25">
        <f>IF(C113="","",SUMPRODUCT(($C$25:C113=C113)*(2*($D$25:D113="Доход")-1)*$F$25:F113))</f>
        <v/>
      </c>
    </row>
    <row r="114">
      <c r="B114" s="18" t="n"/>
      <c r="C114" s="18" t="n"/>
      <c r="D114" s="18" t="n"/>
      <c r="E114" s="18" t="n"/>
      <c r="F114" s="24" t="n"/>
      <c r="G114" s="18" t="n"/>
      <c r="H114" s="25">
        <f>IF(C114="","",SUMPRODUCT(($C$25:C114=C114)*(2*($D$25:D114="Доход")-1)*$F$25:F114))</f>
        <v/>
      </c>
    </row>
    <row r="115">
      <c r="B115" s="18" t="n"/>
      <c r="C115" s="18" t="n"/>
      <c r="D115" s="18" t="n"/>
      <c r="E115" s="18" t="n"/>
      <c r="F115" s="24" t="n"/>
      <c r="G115" s="18" t="n"/>
      <c r="H115" s="25">
        <f>IF(C115="","",SUMPRODUCT(($C$25:C115=C115)*(2*($D$25:D115="Доход")-1)*$F$25:F115))</f>
        <v/>
      </c>
    </row>
    <row r="116">
      <c r="B116" s="18" t="n"/>
      <c r="C116" s="18" t="n"/>
      <c r="D116" s="18" t="n"/>
      <c r="E116" s="18" t="n"/>
      <c r="F116" s="24" t="n"/>
      <c r="G116" s="18" t="n"/>
      <c r="H116" s="25">
        <f>IF(C116="","",SUMPRODUCT(($C$25:C116=C116)*(2*($D$25:D116="Доход")-1)*$F$25:F116))</f>
        <v/>
      </c>
    </row>
    <row r="117">
      <c r="B117" s="18" t="n"/>
      <c r="C117" s="18" t="n"/>
      <c r="D117" s="18" t="n"/>
      <c r="E117" s="18" t="n"/>
      <c r="F117" s="24" t="n"/>
      <c r="G117" s="18" t="n"/>
      <c r="H117" s="25">
        <f>IF(C117="","",SUMPRODUCT(($C$25:C117=C117)*(2*($D$25:D117="Доход")-1)*$F$25:F117))</f>
        <v/>
      </c>
    </row>
    <row r="118">
      <c r="B118" s="18" t="n"/>
      <c r="C118" s="18" t="n"/>
      <c r="D118" s="18" t="n"/>
      <c r="E118" s="18" t="n"/>
      <c r="F118" s="24" t="n"/>
      <c r="G118" s="18" t="n"/>
      <c r="H118" s="25">
        <f>IF(C118="","",SUMPRODUCT(($C$25:C118=C118)*(2*($D$25:D118="Доход")-1)*$F$25:F118))</f>
        <v/>
      </c>
    </row>
    <row r="119">
      <c r="B119" s="18" t="n"/>
      <c r="C119" s="18" t="n"/>
      <c r="D119" s="18" t="n"/>
      <c r="E119" s="18" t="n"/>
      <c r="F119" s="24" t="n"/>
      <c r="G119" s="18" t="n"/>
      <c r="H119" s="25">
        <f>IF(C119="","",SUMPRODUCT(($C$25:C119=C119)*(2*($D$25:D119="Доход")-1)*$F$25:F119))</f>
        <v/>
      </c>
    </row>
    <row r="120">
      <c r="B120" s="18" t="n"/>
      <c r="C120" s="18" t="n"/>
      <c r="D120" s="18" t="n"/>
      <c r="E120" s="18" t="n"/>
      <c r="F120" s="24" t="n"/>
      <c r="G120" s="18" t="n"/>
      <c r="H120" s="25">
        <f>IF(C120="","",SUMPRODUCT(($C$25:C120=C120)*(2*($D$25:D120="Доход")-1)*$F$25:F120))</f>
        <v/>
      </c>
    </row>
    <row r="121">
      <c r="B121" s="18" t="n"/>
      <c r="C121" s="18" t="n"/>
      <c r="D121" s="18" t="n"/>
      <c r="E121" s="18" t="n"/>
      <c r="F121" s="24" t="n"/>
      <c r="G121" s="18" t="n"/>
      <c r="H121" s="25">
        <f>IF(C121="","",SUMPRODUCT(($C$25:C121=C121)*(2*($D$25:D121="Доход")-1)*$F$25:F121))</f>
        <v/>
      </c>
    </row>
    <row r="122">
      <c r="B122" s="18" t="n"/>
      <c r="C122" s="18" t="n"/>
      <c r="D122" s="18" t="n"/>
      <c r="E122" s="18" t="n"/>
      <c r="F122" s="24" t="n"/>
      <c r="G122" s="18" t="n"/>
      <c r="H122" s="25">
        <f>IF(C122="","",SUMPRODUCT(($C$25:C122=C122)*(2*($D$25:D122="Доход")-1)*$F$25:F122))</f>
        <v/>
      </c>
    </row>
    <row r="123">
      <c r="B123" s="18" t="n"/>
      <c r="C123" s="18" t="n"/>
      <c r="D123" s="18" t="n"/>
      <c r="E123" s="18" t="n"/>
      <c r="F123" s="24" t="n"/>
      <c r="G123" s="18" t="n"/>
      <c r="H123" s="25">
        <f>IF(C123="","",SUMPRODUCT(($C$25:C123=C123)*(2*($D$25:D123="Доход")-1)*$F$25:F123))</f>
        <v/>
      </c>
    </row>
    <row r="124">
      <c r="B124" s="18" t="n"/>
      <c r="C124" s="18" t="n"/>
      <c r="D124" s="18" t="n"/>
      <c r="E124" s="18" t="n"/>
      <c r="F124" s="24" t="n"/>
      <c r="G124" s="18" t="n"/>
      <c r="H124" s="25">
        <f>IF(C124="","",SUMPRODUCT(($C$25:C124=C124)*(2*($D$25:D124="Доход")-1)*$F$25:F124))</f>
        <v/>
      </c>
    </row>
    <row r="125">
      <c r="B125" s="18" t="n"/>
      <c r="C125" s="18" t="n"/>
      <c r="D125" s="18" t="n"/>
      <c r="E125" s="18" t="n"/>
      <c r="F125" s="24" t="n"/>
      <c r="G125" s="18" t="n"/>
      <c r="H125" s="25">
        <f>IF(C125="","",SUMPRODUCT(($C$25:C125=C125)*(2*($D$25:D125="Доход")-1)*$F$25:F125))</f>
        <v/>
      </c>
    </row>
    <row r="126">
      <c r="B126" s="18" t="n"/>
      <c r="C126" s="18" t="n"/>
      <c r="D126" s="18" t="n"/>
      <c r="E126" s="18" t="n"/>
      <c r="F126" s="24" t="n"/>
      <c r="G126" s="18" t="n"/>
      <c r="H126" s="25">
        <f>IF(C126="","",SUMPRODUCT(($C$25:C126=C126)*(2*($D$25:D126="Доход")-1)*$F$25:F126))</f>
        <v/>
      </c>
    </row>
    <row r="127">
      <c r="B127" s="18" t="n"/>
      <c r="C127" s="18" t="n"/>
      <c r="D127" s="18" t="n"/>
      <c r="E127" s="18" t="n"/>
      <c r="F127" s="24" t="n"/>
      <c r="G127" s="18" t="n"/>
      <c r="H127" s="25">
        <f>IF(C127="","",SUMPRODUCT(($C$25:C127=C127)*(2*($D$25:D127="Доход")-1)*$F$25:F127))</f>
        <v/>
      </c>
    </row>
    <row r="128">
      <c r="B128" s="18" t="n"/>
      <c r="C128" s="18" t="n"/>
      <c r="D128" s="18" t="n"/>
      <c r="E128" s="18" t="n"/>
      <c r="F128" s="24" t="n"/>
      <c r="G128" s="18" t="n"/>
      <c r="H128" s="25">
        <f>IF(C128="","",SUMPRODUCT(($C$25:C128=C128)*(2*($D$25:D128="Доход")-1)*$F$25:F128))</f>
        <v/>
      </c>
    </row>
    <row r="129">
      <c r="B129" s="18" t="n"/>
      <c r="C129" s="18" t="n"/>
      <c r="D129" s="18" t="n"/>
      <c r="E129" s="18" t="n"/>
      <c r="F129" s="24" t="n"/>
      <c r="G129" s="18" t="n"/>
      <c r="H129" s="25">
        <f>IF(C129="","",SUMPRODUCT(($C$25:C129=C129)*(2*($D$25:D129="Доход")-1)*$F$25:F129))</f>
        <v/>
      </c>
    </row>
    <row r="130">
      <c r="B130" s="18" t="n"/>
      <c r="C130" s="18" t="n"/>
      <c r="D130" s="18" t="n"/>
      <c r="E130" s="18" t="n"/>
      <c r="F130" s="24" t="n"/>
      <c r="G130" s="18" t="n"/>
      <c r="H130" s="25">
        <f>IF(C130="","",SUMPRODUCT(($C$25:C130=C130)*(2*($D$25:D130="Доход")-1)*$F$25:F130))</f>
        <v/>
      </c>
    </row>
    <row r="131">
      <c r="B131" s="18" t="n"/>
      <c r="C131" s="18" t="n"/>
      <c r="D131" s="18" t="n"/>
      <c r="E131" s="18" t="n"/>
      <c r="F131" s="24" t="n"/>
      <c r="G131" s="18" t="n"/>
      <c r="H131" s="25">
        <f>IF(C131="","",SUMPRODUCT(($C$25:C131=C131)*(2*($D$25:D131="Доход")-1)*$F$25:F131))</f>
        <v/>
      </c>
    </row>
    <row r="132">
      <c r="B132" s="18" t="n"/>
      <c r="C132" s="18" t="n"/>
      <c r="D132" s="18" t="n"/>
      <c r="E132" s="18" t="n"/>
      <c r="F132" s="24" t="n"/>
      <c r="G132" s="18" t="n"/>
      <c r="H132" s="25">
        <f>IF(C132="","",SUMPRODUCT(($C$25:C132=C132)*(2*($D$25:D132="Доход")-1)*$F$25:F132))</f>
        <v/>
      </c>
    </row>
    <row r="133">
      <c r="B133" s="18" t="n"/>
      <c r="C133" s="18" t="n"/>
      <c r="D133" s="18" t="n"/>
      <c r="E133" s="18" t="n"/>
      <c r="F133" s="24" t="n"/>
      <c r="G133" s="18" t="n"/>
      <c r="H133" s="25">
        <f>IF(C133="","",SUMPRODUCT(($C$25:C133=C133)*(2*($D$25:D133="Доход")-1)*$F$25:F133))</f>
        <v/>
      </c>
    </row>
    <row r="134">
      <c r="B134" s="18" t="n"/>
      <c r="C134" s="18" t="n"/>
      <c r="D134" s="18" t="n"/>
      <c r="E134" s="18" t="n"/>
      <c r="F134" s="24" t="n"/>
      <c r="G134" s="18" t="n"/>
      <c r="H134" s="25">
        <f>IF(C134="","",SUMPRODUCT(($C$25:C134=C134)*(2*($D$25:D134="Доход")-1)*$F$25:F134))</f>
        <v/>
      </c>
    </row>
    <row r="135">
      <c r="B135" s="18" t="n"/>
      <c r="C135" s="18" t="n"/>
      <c r="D135" s="18" t="n"/>
      <c r="E135" s="18" t="n"/>
      <c r="F135" s="24" t="n"/>
      <c r="G135" s="18" t="n"/>
      <c r="H135" s="25">
        <f>IF(C135="","",SUMPRODUCT(($C$25:C135=C135)*(2*($D$25:D135="Доход")-1)*$F$25:F135))</f>
        <v/>
      </c>
    </row>
    <row r="136">
      <c r="B136" s="18" t="n"/>
      <c r="C136" s="18" t="n"/>
      <c r="D136" s="18" t="n"/>
      <c r="E136" s="18" t="n"/>
      <c r="F136" s="24" t="n"/>
      <c r="G136" s="18" t="n"/>
      <c r="H136" s="25">
        <f>IF(C136="","",SUMPRODUCT(($C$25:C136=C136)*(2*($D$25:D136="Доход")-1)*$F$25:F136))</f>
        <v/>
      </c>
    </row>
    <row r="137">
      <c r="B137" s="18" t="n"/>
      <c r="C137" s="18" t="n"/>
      <c r="D137" s="18" t="n"/>
      <c r="E137" s="18" t="n"/>
      <c r="F137" s="24" t="n"/>
      <c r="G137" s="18" t="n"/>
      <c r="H137" s="25">
        <f>IF(C137="","",SUMPRODUCT(($C$25:C137=C137)*(2*($D$25:D137="Доход")-1)*$F$25:F137))</f>
        <v/>
      </c>
    </row>
    <row r="138">
      <c r="B138" s="18" t="n"/>
      <c r="C138" s="18" t="n"/>
      <c r="D138" s="18" t="n"/>
      <c r="E138" s="18" t="n"/>
      <c r="F138" s="24" t="n"/>
      <c r="G138" s="18" t="n"/>
      <c r="H138" s="25">
        <f>IF(C138="","",SUMPRODUCT(($C$25:C138=C138)*(2*($D$25:D138="Доход")-1)*$F$25:F138))</f>
        <v/>
      </c>
    </row>
    <row r="139">
      <c r="B139" s="18" t="n"/>
      <c r="C139" s="18" t="n"/>
      <c r="D139" s="18" t="n"/>
      <c r="E139" s="18" t="n"/>
      <c r="F139" s="24" t="n"/>
      <c r="G139" s="18" t="n"/>
      <c r="H139" s="25">
        <f>IF(C139="","",SUMPRODUCT(($C$25:C139=C139)*(2*($D$25:D139="Доход")-1)*$F$25:F139))</f>
        <v/>
      </c>
    </row>
    <row r="140">
      <c r="B140" s="18" t="n"/>
      <c r="C140" s="18" t="n"/>
      <c r="D140" s="18" t="n"/>
      <c r="E140" s="18" t="n"/>
      <c r="F140" s="24" t="n"/>
      <c r="G140" s="18" t="n"/>
      <c r="H140" s="25">
        <f>IF(C140="","",SUMPRODUCT(($C$25:C140=C140)*(2*($D$25:D140="Доход")-1)*$F$25:F140))</f>
        <v/>
      </c>
    </row>
    <row r="141">
      <c r="B141" s="18" t="n"/>
      <c r="C141" s="18" t="n"/>
      <c r="D141" s="18" t="n"/>
      <c r="E141" s="18" t="n"/>
      <c r="F141" s="24" t="n"/>
      <c r="G141" s="18" t="n"/>
      <c r="H141" s="25">
        <f>IF(C141="","",SUMPRODUCT(($C$25:C141=C141)*(2*($D$25:D141="Доход")-1)*$F$25:F141))</f>
        <v/>
      </c>
    </row>
    <row r="142">
      <c r="B142" s="18" t="n"/>
      <c r="C142" s="18" t="n"/>
      <c r="D142" s="18" t="n"/>
      <c r="E142" s="18" t="n"/>
      <c r="F142" s="24" t="n"/>
      <c r="G142" s="18" t="n"/>
      <c r="H142" s="25">
        <f>IF(C142="","",SUMPRODUCT(($C$25:C142=C142)*(2*($D$25:D142="Доход")-1)*$F$25:F142))</f>
        <v/>
      </c>
    </row>
    <row r="143">
      <c r="B143" s="18" t="n"/>
      <c r="C143" s="18" t="n"/>
      <c r="D143" s="18" t="n"/>
      <c r="E143" s="18" t="n"/>
      <c r="F143" s="24" t="n"/>
      <c r="G143" s="18" t="n"/>
      <c r="H143" s="25">
        <f>IF(C143="","",SUMPRODUCT(($C$25:C143=C143)*(2*($D$25:D143="Доход")-1)*$F$25:F143))</f>
        <v/>
      </c>
    </row>
    <row r="144">
      <c r="B144" s="18" t="n"/>
      <c r="C144" s="18" t="n"/>
      <c r="D144" s="18" t="n"/>
      <c r="E144" s="18" t="n"/>
      <c r="F144" s="24" t="n"/>
      <c r="G144" s="18" t="n"/>
      <c r="H144" s="25">
        <f>IF(C144="","",SUMPRODUCT(($C$25:C144=C144)*(2*($D$25:D144="Доход")-1)*$F$25:F144))</f>
        <v/>
      </c>
    </row>
    <row r="145">
      <c r="B145" s="18" t="n"/>
      <c r="C145" s="18" t="n"/>
      <c r="D145" s="18" t="n"/>
      <c r="E145" s="18" t="n"/>
      <c r="F145" s="24" t="n"/>
      <c r="G145" s="18" t="n"/>
      <c r="H145" s="25">
        <f>IF(C145="","",SUMPRODUCT(($C$25:C145=C145)*(2*($D$25:D145="Доход")-1)*$F$25:F145))</f>
        <v/>
      </c>
    </row>
    <row r="146">
      <c r="B146" s="18" t="n"/>
      <c r="C146" s="18" t="n"/>
      <c r="D146" s="18" t="n"/>
      <c r="E146" s="18" t="n"/>
      <c r="F146" s="24" t="n"/>
      <c r="G146" s="18" t="n"/>
      <c r="H146" s="25">
        <f>IF(C146="","",SUMPRODUCT(($C$25:C146=C146)*(2*($D$25:D146="Доход")-1)*$F$25:F146))</f>
        <v/>
      </c>
    </row>
    <row r="147">
      <c r="B147" s="18" t="n"/>
      <c r="C147" s="18" t="n"/>
      <c r="D147" s="18" t="n"/>
      <c r="E147" s="18" t="n"/>
      <c r="F147" s="24" t="n"/>
      <c r="G147" s="18" t="n"/>
      <c r="H147" s="25">
        <f>IF(C147="","",SUMPRODUCT(($C$25:C147=C147)*(2*($D$25:D147="Доход")-1)*$F$25:F147))</f>
        <v/>
      </c>
    </row>
    <row r="148">
      <c r="B148" s="18" t="n"/>
      <c r="C148" s="18" t="n"/>
      <c r="D148" s="18" t="n"/>
      <c r="E148" s="18" t="n"/>
      <c r="F148" s="24" t="n"/>
      <c r="G148" s="18" t="n"/>
      <c r="H148" s="25">
        <f>IF(C148="","",SUMPRODUCT(($C$25:C148=C148)*(2*($D$25:D148="Доход")-1)*$F$25:F148))</f>
        <v/>
      </c>
    </row>
    <row r="149">
      <c r="B149" s="18" t="n"/>
      <c r="C149" s="18" t="n"/>
      <c r="D149" s="18" t="n"/>
      <c r="E149" s="18" t="n"/>
      <c r="F149" s="24" t="n"/>
      <c r="G149" s="18" t="n"/>
      <c r="H149" s="25">
        <f>IF(C149="","",SUMPRODUCT(($C$25:C149=C149)*(2*($D$25:D149="Доход")-1)*$F$25:F149))</f>
        <v/>
      </c>
    </row>
    <row r="150">
      <c r="B150" s="18" t="n"/>
      <c r="C150" s="18" t="n"/>
      <c r="D150" s="18" t="n"/>
      <c r="E150" s="18" t="n"/>
      <c r="F150" s="24" t="n"/>
      <c r="G150" s="18" t="n"/>
      <c r="H150" s="25">
        <f>IF(C150="","",SUMPRODUCT(($C$25:C150=C150)*(2*($D$25:D150="Доход")-1)*$F$25:F150))</f>
        <v/>
      </c>
    </row>
    <row r="151">
      <c r="B151" s="18" t="n"/>
      <c r="C151" s="18" t="n"/>
      <c r="D151" s="18" t="n"/>
      <c r="E151" s="18" t="n"/>
      <c r="F151" s="24" t="n"/>
      <c r="G151" s="18" t="n"/>
      <c r="H151" s="25">
        <f>IF(C151="","",SUMPRODUCT(($C$25:C151=C151)*(2*($D$25:D151="Доход")-1)*$F$25:F151))</f>
        <v/>
      </c>
    </row>
    <row r="152">
      <c r="B152" s="18" t="n"/>
      <c r="C152" s="18" t="n"/>
      <c r="D152" s="18" t="n"/>
      <c r="E152" s="18" t="n"/>
      <c r="F152" s="24" t="n"/>
      <c r="G152" s="18" t="n"/>
      <c r="H152" s="25">
        <f>IF(C152="","",SUMPRODUCT(($C$25:C152=C152)*(2*($D$25:D152="Доход")-1)*$F$25:F152))</f>
        <v/>
      </c>
    </row>
    <row r="153">
      <c r="B153" s="18" t="n"/>
      <c r="C153" s="18" t="n"/>
      <c r="D153" s="18" t="n"/>
      <c r="E153" s="18" t="n"/>
      <c r="F153" s="24" t="n"/>
      <c r="G153" s="18" t="n"/>
      <c r="H153" s="25">
        <f>IF(C153="","",SUMPRODUCT(($C$25:C153=C153)*(2*($D$25:D153="Доход")-1)*$F$25:F153))</f>
        <v/>
      </c>
    </row>
    <row r="154">
      <c r="B154" s="18" t="n"/>
      <c r="C154" s="18" t="n"/>
      <c r="D154" s="18" t="n"/>
      <c r="E154" s="18" t="n"/>
      <c r="F154" s="24" t="n"/>
      <c r="G154" s="18" t="n"/>
      <c r="H154" s="25">
        <f>IF(C154="","",SUMPRODUCT(($C$25:C154=C154)*(2*($D$25:D154="Доход")-1)*$F$25:F154))</f>
        <v/>
      </c>
    </row>
    <row r="155">
      <c r="B155" s="18" t="n"/>
      <c r="C155" s="18" t="n"/>
      <c r="D155" s="18" t="n"/>
      <c r="E155" s="18" t="n"/>
      <c r="F155" s="24" t="n"/>
      <c r="G155" s="18" t="n"/>
      <c r="H155" s="25">
        <f>IF(C155="","",SUMPRODUCT(($C$25:C155=C155)*(2*($D$25:D155="Доход")-1)*$F$25:F155))</f>
        <v/>
      </c>
    </row>
    <row r="156">
      <c r="B156" s="18" t="n"/>
      <c r="C156" s="18" t="n"/>
      <c r="D156" s="18" t="n"/>
      <c r="E156" s="18" t="n"/>
      <c r="F156" s="24" t="n"/>
      <c r="G156" s="18" t="n"/>
      <c r="H156" s="25">
        <f>IF(C156="","",SUMPRODUCT(($C$25:C156=C156)*(2*($D$25:D156="Доход")-1)*$F$25:F156))</f>
        <v/>
      </c>
    </row>
    <row r="157">
      <c r="B157" s="18" t="n"/>
      <c r="C157" s="18" t="n"/>
      <c r="D157" s="18" t="n"/>
      <c r="E157" s="18" t="n"/>
      <c r="F157" s="24" t="n"/>
      <c r="G157" s="18" t="n"/>
      <c r="H157" s="25">
        <f>IF(C157="","",SUMPRODUCT(($C$25:C157=C157)*(2*($D$25:D157="Доход")-1)*$F$25:F157))</f>
        <v/>
      </c>
    </row>
    <row r="158">
      <c r="B158" s="18" t="n"/>
      <c r="C158" s="18" t="n"/>
      <c r="D158" s="18" t="n"/>
      <c r="E158" s="18" t="n"/>
      <c r="F158" s="24" t="n"/>
      <c r="G158" s="18" t="n"/>
      <c r="H158" s="25">
        <f>IF(C158="","",SUMPRODUCT(($C$25:C158=C158)*(2*($D$25:D158="Доход")-1)*$F$25:F158))</f>
        <v/>
      </c>
    </row>
    <row r="159">
      <c r="B159" s="18" t="n"/>
      <c r="C159" s="18" t="n"/>
      <c r="D159" s="18" t="n"/>
      <c r="E159" s="18" t="n"/>
      <c r="F159" s="24" t="n"/>
      <c r="G159" s="18" t="n"/>
      <c r="H159" s="25">
        <f>IF(C159="","",SUMPRODUCT(($C$25:C159=C159)*(2*($D$25:D159="Доход")-1)*$F$25:F159))</f>
        <v/>
      </c>
    </row>
    <row r="160">
      <c r="B160" s="18" t="n"/>
      <c r="C160" s="18" t="n"/>
      <c r="D160" s="18" t="n"/>
      <c r="E160" s="18" t="n"/>
      <c r="F160" s="24" t="n"/>
      <c r="G160" s="18" t="n"/>
      <c r="H160" s="25">
        <f>IF(C160="","",SUMPRODUCT(($C$25:C160=C160)*(2*($D$25:D160="Доход")-1)*$F$25:F160))</f>
        <v/>
      </c>
    </row>
    <row r="161">
      <c r="B161" s="18" t="n"/>
      <c r="C161" s="18" t="n"/>
      <c r="D161" s="18" t="n"/>
      <c r="E161" s="18" t="n"/>
      <c r="F161" s="24" t="n"/>
      <c r="G161" s="18" t="n"/>
      <c r="H161" s="25">
        <f>IF(C161="","",SUMPRODUCT(($C$25:C161=C161)*(2*($D$25:D161="Доход")-1)*$F$25:F161))</f>
        <v/>
      </c>
    </row>
    <row r="162">
      <c r="B162" s="18" t="n"/>
      <c r="C162" s="18" t="n"/>
      <c r="D162" s="18" t="n"/>
      <c r="E162" s="18" t="n"/>
      <c r="F162" s="24" t="n"/>
      <c r="G162" s="18" t="n"/>
      <c r="H162" s="25">
        <f>IF(C162="","",SUMPRODUCT(($C$25:C162=C162)*(2*($D$25:D162="Доход")-1)*$F$25:F162))</f>
        <v/>
      </c>
    </row>
    <row r="163">
      <c r="B163" s="18" t="n"/>
      <c r="C163" s="18" t="n"/>
      <c r="D163" s="18" t="n"/>
      <c r="E163" s="18" t="n"/>
      <c r="F163" s="24" t="n"/>
      <c r="G163" s="18" t="n"/>
      <c r="H163" s="25">
        <f>IF(C163="","",SUMPRODUCT(($C$25:C163=C163)*(2*($D$25:D163="Доход")-1)*$F$25:F163))</f>
        <v/>
      </c>
    </row>
    <row r="164">
      <c r="B164" s="18" t="n"/>
      <c r="C164" s="18" t="n"/>
      <c r="D164" s="18" t="n"/>
      <c r="E164" s="18" t="n"/>
      <c r="F164" s="24" t="n"/>
      <c r="G164" s="18" t="n"/>
      <c r="H164" s="25">
        <f>IF(C164="","",SUMPRODUCT(($C$25:C164=C164)*(2*($D$25:D164="Доход")-1)*$F$25:F164))</f>
        <v/>
      </c>
    </row>
    <row r="165">
      <c r="B165" s="18" t="n"/>
      <c r="C165" s="18" t="n"/>
      <c r="D165" s="18" t="n"/>
      <c r="E165" s="18" t="n"/>
      <c r="F165" s="24" t="n"/>
      <c r="G165" s="18" t="n"/>
      <c r="H165" s="25">
        <f>IF(C165="","",SUMPRODUCT(($C$25:C165=C165)*(2*($D$25:D165="Доход")-1)*$F$25:F165))</f>
        <v/>
      </c>
    </row>
    <row r="166">
      <c r="B166" s="18" t="n"/>
      <c r="C166" s="18" t="n"/>
      <c r="D166" s="18" t="n"/>
      <c r="E166" s="18" t="n"/>
      <c r="F166" s="24" t="n"/>
      <c r="G166" s="18" t="n"/>
      <c r="H166" s="25">
        <f>IF(C166="","",SUMPRODUCT(($C$25:C166=C166)*(2*($D$25:D166="Доход")-1)*$F$25:F166))</f>
        <v/>
      </c>
    </row>
    <row r="167">
      <c r="B167" s="18" t="n"/>
      <c r="C167" s="18" t="n"/>
      <c r="D167" s="18" t="n"/>
      <c r="E167" s="18" t="n"/>
      <c r="F167" s="24" t="n"/>
      <c r="G167" s="18" t="n"/>
      <c r="H167" s="25">
        <f>IF(C167="","",SUMPRODUCT(($C$25:C167=C167)*(2*($D$25:D167="Доход")-1)*$F$25:F167))</f>
        <v/>
      </c>
    </row>
    <row r="168">
      <c r="B168" s="18" t="n"/>
      <c r="C168" s="18" t="n"/>
      <c r="D168" s="18" t="n"/>
      <c r="E168" s="18" t="n"/>
      <c r="F168" s="24" t="n"/>
      <c r="G168" s="18" t="n"/>
      <c r="H168" s="25">
        <f>IF(C168="","",SUMPRODUCT(($C$25:C168=C168)*(2*($D$25:D168="Доход")-1)*$F$25:F168))</f>
        <v/>
      </c>
    </row>
    <row r="169">
      <c r="B169" s="18" t="n"/>
      <c r="C169" s="18" t="n"/>
      <c r="D169" s="18" t="n"/>
      <c r="E169" s="18" t="n"/>
      <c r="F169" s="24" t="n"/>
      <c r="G169" s="18" t="n"/>
      <c r="H169" s="25">
        <f>IF(C169="","",SUMPRODUCT(($C$25:C169=C169)*(2*($D$25:D169="Доход")-1)*$F$25:F169))</f>
        <v/>
      </c>
    </row>
    <row r="170">
      <c r="B170" s="18" t="n"/>
      <c r="C170" s="18" t="n"/>
      <c r="D170" s="18" t="n"/>
      <c r="E170" s="18" t="n"/>
      <c r="F170" s="24" t="n"/>
      <c r="G170" s="18" t="n"/>
      <c r="H170" s="25">
        <f>IF(C170="","",SUMPRODUCT(($C$25:C170=C170)*(2*($D$25:D170="Доход")-1)*$F$25:F170))</f>
        <v/>
      </c>
    </row>
    <row r="171">
      <c r="B171" s="18" t="n"/>
      <c r="C171" s="18" t="n"/>
      <c r="D171" s="18" t="n"/>
      <c r="E171" s="18" t="n"/>
      <c r="F171" s="24" t="n"/>
      <c r="G171" s="18" t="n"/>
      <c r="H171" s="25">
        <f>IF(C171="","",SUMPRODUCT(($C$25:C171=C171)*(2*($D$25:D171="Доход")-1)*$F$25:F171))</f>
        <v/>
      </c>
    </row>
    <row r="172">
      <c r="B172" s="18" t="n"/>
      <c r="C172" s="18" t="n"/>
      <c r="D172" s="18" t="n"/>
      <c r="E172" s="18" t="n"/>
      <c r="F172" s="24" t="n"/>
      <c r="G172" s="18" t="n"/>
      <c r="H172" s="25">
        <f>IF(C172="","",SUMPRODUCT(($C$25:C172=C172)*(2*($D$25:D172="Доход")-1)*$F$25:F172))</f>
        <v/>
      </c>
    </row>
    <row r="173">
      <c r="B173" s="18" t="n"/>
      <c r="C173" s="18" t="n"/>
      <c r="D173" s="18" t="n"/>
      <c r="E173" s="18" t="n"/>
      <c r="F173" s="24" t="n"/>
      <c r="G173" s="18" t="n"/>
      <c r="H173" s="25">
        <f>IF(C173="","",SUMPRODUCT(($C$25:C173=C173)*(2*($D$25:D173="Доход")-1)*$F$25:F173))</f>
        <v/>
      </c>
    </row>
    <row r="174">
      <c r="B174" s="18" t="n"/>
      <c r="C174" s="18" t="n"/>
      <c r="D174" s="18" t="n"/>
      <c r="E174" s="18" t="n"/>
      <c r="F174" s="24" t="n"/>
      <c r="G174" s="18" t="n"/>
      <c r="H174" s="25">
        <f>IF(C174="","",SUMPRODUCT(($C$25:C174=C174)*(2*($D$25:D174="Доход")-1)*$F$25:F174))</f>
        <v/>
      </c>
    </row>
    <row r="175">
      <c r="B175" s="18" t="n"/>
      <c r="C175" s="18" t="n"/>
      <c r="D175" s="18" t="n"/>
      <c r="E175" s="18" t="n"/>
      <c r="F175" s="24" t="n"/>
      <c r="G175" s="18" t="n"/>
      <c r="H175" s="25">
        <f>IF(C175="","",SUMPRODUCT(($C$25:C175=C175)*(2*($D$25:D175="Доход")-1)*$F$25:F175))</f>
        <v/>
      </c>
    </row>
    <row r="176">
      <c r="B176" s="18" t="n"/>
      <c r="C176" s="18" t="n"/>
      <c r="D176" s="18" t="n"/>
      <c r="E176" s="18" t="n"/>
      <c r="F176" s="24" t="n"/>
      <c r="G176" s="18" t="n"/>
      <c r="H176" s="25">
        <f>IF(C176="","",SUMPRODUCT(($C$25:C176=C176)*(2*($D$25:D176="Доход")-1)*$F$25:F176))</f>
        <v/>
      </c>
    </row>
    <row r="177">
      <c r="B177" s="18" t="n"/>
      <c r="C177" s="18" t="n"/>
      <c r="D177" s="18" t="n"/>
      <c r="E177" s="18" t="n"/>
      <c r="F177" s="24" t="n"/>
      <c r="G177" s="18" t="n"/>
      <c r="H177" s="25">
        <f>IF(C177="","",SUMPRODUCT(($C$25:C177=C177)*(2*($D$25:D177="Доход")-1)*$F$25:F177))</f>
        <v/>
      </c>
    </row>
    <row r="178">
      <c r="B178" s="18" t="n"/>
      <c r="C178" s="18" t="n"/>
      <c r="D178" s="18" t="n"/>
      <c r="E178" s="18" t="n"/>
      <c r="F178" s="24" t="n"/>
      <c r="G178" s="18" t="n"/>
      <c r="H178" s="25">
        <f>IF(C178="","",SUMPRODUCT(($C$25:C178=C178)*(2*($D$25:D178="Доход")-1)*$F$25:F178))</f>
        <v/>
      </c>
    </row>
    <row r="179">
      <c r="B179" s="18" t="n"/>
      <c r="C179" s="18" t="n"/>
      <c r="D179" s="18" t="n"/>
      <c r="E179" s="18" t="n"/>
      <c r="F179" s="24" t="n"/>
      <c r="G179" s="18" t="n"/>
      <c r="H179" s="25">
        <f>IF(C179="","",SUMPRODUCT(($C$25:C179=C179)*(2*($D$25:D179="Доход")-1)*$F$25:F179))</f>
        <v/>
      </c>
    </row>
    <row r="180">
      <c r="B180" s="18" t="n"/>
      <c r="C180" s="18" t="n"/>
      <c r="D180" s="18" t="n"/>
      <c r="E180" s="18" t="n"/>
      <c r="F180" s="24" t="n"/>
      <c r="G180" s="18" t="n"/>
      <c r="H180" s="25">
        <f>IF(C180="","",SUMPRODUCT(($C$25:C180=C180)*(2*($D$25:D180="Доход")-1)*$F$25:F180))</f>
        <v/>
      </c>
    </row>
    <row r="181">
      <c r="B181" s="18" t="n"/>
      <c r="C181" s="18" t="n"/>
      <c r="D181" s="18" t="n"/>
      <c r="E181" s="18" t="n"/>
      <c r="F181" s="24" t="n"/>
      <c r="G181" s="18" t="n"/>
      <c r="H181" s="25">
        <f>IF(C181="","",SUMPRODUCT(($C$25:C181=C181)*(2*($D$25:D181="Доход")-1)*$F$25:F181))</f>
        <v/>
      </c>
    </row>
    <row r="182">
      <c r="B182" s="18" t="n"/>
      <c r="C182" s="18" t="n"/>
      <c r="D182" s="18" t="n"/>
      <c r="E182" s="18" t="n"/>
      <c r="F182" s="24" t="n"/>
      <c r="G182" s="18" t="n"/>
      <c r="H182" s="25">
        <f>IF(C182="","",SUMPRODUCT(($C$25:C182=C182)*(2*($D$25:D182="Доход")-1)*$F$25:F182))</f>
        <v/>
      </c>
    </row>
    <row r="183">
      <c r="B183" s="18" t="n"/>
      <c r="C183" s="18" t="n"/>
      <c r="D183" s="18" t="n"/>
      <c r="E183" s="18" t="n"/>
      <c r="F183" s="24" t="n"/>
      <c r="G183" s="18" t="n"/>
      <c r="H183" s="25">
        <f>IF(C183="","",SUMPRODUCT(($C$25:C183=C183)*(2*($D$25:D183="Доход")-1)*$F$25:F183))</f>
        <v/>
      </c>
    </row>
    <row r="184">
      <c r="B184" s="18" t="n"/>
      <c r="C184" s="18" t="n"/>
      <c r="D184" s="18" t="n"/>
      <c r="E184" s="18" t="n"/>
      <c r="F184" s="24" t="n"/>
      <c r="G184" s="18" t="n"/>
      <c r="H184" s="25">
        <f>IF(C184="","",SUMPRODUCT(($C$25:C184=C184)*(2*($D$25:D184="Доход")-1)*$F$25:F184))</f>
        <v/>
      </c>
    </row>
    <row r="185">
      <c r="B185" s="18" t="n"/>
      <c r="C185" s="18" t="n"/>
      <c r="D185" s="18" t="n"/>
      <c r="E185" s="18" t="n"/>
      <c r="F185" s="24" t="n"/>
      <c r="G185" s="18" t="n"/>
      <c r="H185" s="25">
        <f>IF(C185="","",SUMPRODUCT(($C$25:C185=C185)*(2*($D$25:D185="Доход")-1)*$F$25:F185))</f>
        <v/>
      </c>
    </row>
    <row r="186">
      <c r="B186" s="18" t="n"/>
      <c r="C186" s="18" t="n"/>
      <c r="D186" s="18" t="n"/>
      <c r="E186" s="18" t="n"/>
      <c r="F186" s="24" t="n"/>
      <c r="G186" s="18" t="n"/>
      <c r="H186" s="25">
        <f>IF(C186="","",SUMPRODUCT(($C$25:C186=C186)*(2*($D$25:D186="Доход")-1)*$F$25:F186))</f>
        <v/>
      </c>
    </row>
    <row r="187">
      <c r="B187" s="18" t="n"/>
      <c r="C187" s="18" t="n"/>
      <c r="D187" s="18" t="n"/>
      <c r="E187" s="18" t="n"/>
      <c r="F187" s="24" t="n"/>
      <c r="G187" s="18" t="n"/>
      <c r="H187" s="25">
        <f>IF(C187="","",SUMPRODUCT(($C$25:C187=C187)*(2*($D$25:D187="Доход")-1)*$F$25:F187))</f>
        <v/>
      </c>
    </row>
    <row r="188">
      <c r="B188" s="18" t="n"/>
      <c r="C188" s="18" t="n"/>
      <c r="D188" s="18" t="n"/>
      <c r="E188" s="18" t="n"/>
      <c r="F188" s="24" t="n"/>
      <c r="G188" s="18" t="n"/>
      <c r="H188" s="25">
        <f>IF(C188="","",SUMPRODUCT(($C$25:C188=C188)*(2*($D$25:D188="Доход")-1)*$F$25:F188))</f>
        <v/>
      </c>
    </row>
    <row r="189">
      <c r="B189" s="18" t="n"/>
      <c r="C189" s="18" t="n"/>
      <c r="D189" s="18" t="n"/>
      <c r="E189" s="18" t="n"/>
      <c r="F189" s="24" t="n"/>
      <c r="G189" s="18" t="n"/>
      <c r="H189" s="25">
        <f>IF(C189="","",SUMPRODUCT(($C$25:C189=C189)*(2*($D$25:D189="Доход")-1)*$F$25:F189))</f>
        <v/>
      </c>
    </row>
    <row r="190">
      <c r="B190" s="18" t="n"/>
      <c r="C190" s="18" t="n"/>
      <c r="D190" s="18" t="n"/>
      <c r="E190" s="18" t="n"/>
      <c r="F190" s="24" t="n"/>
      <c r="G190" s="18" t="n"/>
      <c r="H190" s="25">
        <f>IF(C190="","",SUMPRODUCT(($C$25:C190=C190)*(2*($D$25:D190="Доход")-1)*$F$25:F190))</f>
        <v/>
      </c>
    </row>
    <row r="191">
      <c r="B191" s="18" t="n"/>
      <c r="C191" s="18" t="n"/>
      <c r="D191" s="18" t="n"/>
      <c r="E191" s="18" t="n"/>
      <c r="F191" s="24" t="n"/>
      <c r="G191" s="18" t="n"/>
      <c r="H191" s="25">
        <f>IF(C191="","",SUMPRODUCT(($C$25:C191=C191)*(2*($D$25:D191="Доход")-1)*$F$25:F191))</f>
        <v/>
      </c>
    </row>
    <row r="192">
      <c r="B192" s="18" t="n"/>
      <c r="C192" s="18" t="n"/>
      <c r="D192" s="18" t="n"/>
      <c r="E192" s="18" t="n"/>
      <c r="F192" s="24" t="n"/>
      <c r="G192" s="18" t="n"/>
      <c r="H192" s="25">
        <f>IF(C192="","",SUMPRODUCT(($C$25:C192=C192)*(2*($D$25:D192="Доход")-1)*$F$25:F192))</f>
        <v/>
      </c>
    </row>
    <row r="193">
      <c r="B193" s="18" t="n"/>
      <c r="C193" s="18" t="n"/>
      <c r="D193" s="18" t="n"/>
      <c r="E193" s="18" t="n"/>
      <c r="F193" s="24" t="n"/>
      <c r="G193" s="18" t="n"/>
      <c r="H193" s="25">
        <f>IF(C193="","",SUMPRODUCT(($C$25:C193=C193)*(2*($D$25:D193="Доход")-1)*$F$25:F193))</f>
        <v/>
      </c>
    </row>
    <row r="194">
      <c r="B194" s="18" t="n"/>
      <c r="C194" s="18" t="n"/>
      <c r="D194" s="18" t="n"/>
      <c r="E194" s="18" t="n"/>
      <c r="F194" s="24" t="n"/>
      <c r="G194" s="18" t="n"/>
      <c r="H194" s="25">
        <f>IF(C194="","",SUMPRODUCT(($C$25:C194=C194)*(2*($D$25:D194="Доход")-1)*$F$25:F194))</f>
        <v/>
      </c>
    </row>
    <row r="195">
      <c r="B195" s="18" t="n"/>
      <c r="C195" s="18" t="n"/>
      <c r="D195" s="18" t="n"/>
      <c r="E195" s="18" t="n"/>
      <c r="F195" s="24" t="n"/>
      <c r="G195" s="18" t="n"/>
      <c r="H195" s="25">
        <f>IF(C195="","",SUMPRODUCT(($C$25:C195=C195)*(2*($D$25:D195="Доход")-1)*$F$25:F195))</f>
        <v/>
      </c>
    </row>
    <row r="196">
      <c r="B196" s="18" t="n"/>
      <c r="C196" s="18" t="n"/>
      <c r="D196" s="18" t="n"/>
      <c r="E196" s="18" t="n"/>
      <c r="F196" s="24" t="n"/>
      <c r="G196" s="18" t="n"/>
      <c r="H196" s="25">
        <f>IF(C196="","",SUMPRODUCT(($C$25:C196=C196)*(2*($D$25:D196="Доход")-1)*$F$25:F196))</f>
        <v/>
      </c>
    </row>
    <row r="197">
      <c r="B197" s="18" t="n"/>
      <c r="C197" s="18" t="n"/>
      <c r="D197" s="18" t="n"/>
      <c r="E197" s="18" t="n"/>
      <c r="F197" s="24" t="n"/>
      <c r="G197" s="18" t="n"/>
      <c r="H197" s="25">
        <f>IF(C197="","",SUMPRODUCT(($C$25:C197=C197)*(2*($D$25:D197="Доход")-1)*$F$25:F197))</f>
        <v/>
      </c>
    </row>
    <row r="198">
      <c r="B198" s="18" t="n"/>
      <c r="C198" s="18" t="n"/>
      <c r="D198" s="18" t="n"/>
      <c r="E198" s="18" t="n"/>
      <c r="F198" s="24" t="n"/>
      <c r="G198" s="18" t="n"/>
      <c r="H198" s="25">
        <f>IF(C198="","",SUMPRODUCT(($C$25:C198=C198)*(2*($D$25:D198="Доход")-1)*$F$25:F198))</f>
        <v/>
      </c>
    </row>
    <row r="199">
      <c r="B199" s="18" t="n"/>
      <c r="C199" s="18" t="n"/>
      <c r="D199" s="18" t="n"/>
      <c r="E199" s="18" t="n"/>
      <c r="F199" s="24" t="n"/>
      <c r="G199" s="18" t="n"/>
      <c r="H199" s="25">
        <f>IF(C199="","",SUMPRODUCT(($C$25:C199=C199)*(2*($D$25:D199="Доход")-1)*$F$25:F199))</f>
        <v/>
      </c>
    </row>
    <row r="200">
      <c r="B200" s="18" t="n"/>
      <c r="C200" s="18" t="n"/>
      <c r="D200" s="18" t="n"/>
      <c r="E200" s="18" t="n"/>
      <c r="F200" s="24" t="n"/>
      <c r="G200" s="18" t="n"/>
      <c r="H200" s="25">
        <f>IF(C200="","",SUMPRODUCT(($C$25:C200=C200)*(2*($D$25:D200="Доход")-1)*$F$25:F200))</f>
        <v/>
      </c>
    </row>
    <row r="201">
      <c r="B201" s="18" t="n"/>
      <c r="C201" s="18" t="n"/>
      <c r="D201" s="18" t="n"/>
      <c r="E201" s="18" t="n"/>
      <c r="F201" s="24" t="n"/>
      <c r="G201" s="18" t="n"/>
      <c r="H201" s="25">
        <f>IF(C201="","",SUMPRODUCT(($C$25:C201=C201)*(2*($D$25:D201="Доход")-1)*$F$25:F201))</f>
        <v/>
      </c>
    </row>
    <row r="202">
      <c r="B202" s="18" t="n"/>
      <c r="C202" s="18" t="n"/>
      <c r="D202" s="18" t="n"/>
      <c r="E202" s="18" t="n"/>
      <c r="F202" s="24" t="n"/>
      <c r="G202" s="18" t="n"/>
      <c r="H202" s="25">
        <f>IF(C202="","",SUMPRODUCT(($C$25:C202=C202)*(2*($D$25:D202="Доход")-1)*$F$25:F202))</f>
        <v/>
      </c>
    </row>
    <row r="203">
      <c r="B203" s="18" t="n"/>
      <c r="C203" s="18" t="n"/>
      <c r="D203" s="18" t="n"/>
      <c r="E203" s="18" t="n"/>
      <c r="F203" s="24" t="n"/>
      <c r="G203" s="18" t="n"/>
      <c r="H203" s="25">
        <f>IF(C203="","",SUMPRODUCT(($C$25:C203=C203)*(2*($D$25:D203="Доход")-1)*$F$25:F203))</f>
        <v/>
      </c>
    </row>
    <row r="204">
      <c r="B204" s="18" t="n"/>
      <c r="C204" s="18" t="n"/>
      <c r="D204" s="18" t="n"/>
      <c r="E204" s="18" t="n"/>
      <c r="F204" s="24" t="n"/>
      <c r="G204" s="18" t="n"/>
      <c r="H204" s="25">
        <f>IF(C204="","",SUMPRODUCT(($C$25:C204=C204)*(2*($D$25:D204="Доход")-1)*$F$25:F204))</f>
        <v/>
      </c>
    </row>
    <row r="205">
      <c r="B205" s="18" t="n"/>
      <c r="C205" s="18" t="n"/>
      <c r="D205" s="18" t="n"/>
      <c r="E205" s="18" t="n"/>
      <c r="F205" s="24" t="n"/>
      <c r="G205" s="18" t="n"/>
      <c r="H205" s="25">
        <f>IF(C205="","",SUMPRODUCT(($C$25:C205=C205)*(2*($D$25:D205="Доход")-1)*$F$25:F205))</f>
        <v/>
      </c>
    </row>
    <row r="206">
      <c r="B206" s="18" t="n"/>
      <c r="C206" s="18" t="n"/>
      <c r="D206" s="18" t="n"/>
      <c r="E206" s="18" t="n"/>
      <c r="F206" s="24" t="n"/>
      <c r="G206" s="18" t="n"/>
      <c r="H206" s="25">
        <f>IF(C206="","",SUMPRODUCT(($C$25:C206=C206)*(2*($D$25:D206="Доход")-1)*$F$25:F206))</f>
        <v/>
      </c>
    </row>
    <row r="207">
      <c r="B207" s="18" t="n"/>
      <c r="C207" s="18" t="n"/>
      <c r="D207" s="18" t="n"/>
      <c r="E207" s="18" t="n"/>
      <c r="F207" s="24" t="n"/>
      <c r="G207" s="18" t="n"/>
      <c r="H207" s="25">
        <f>IF(C207="","",SUMPRODUCT(($C$25:C207=C207)*(2*($D$25:D207="Доход")-1)*$F$25:F207))</f>
        <v/>
      </c>
    </row>
    <row r="208">
      <c r="B208" s="18" t="n"/>
      <c r="C208" s="18" t="n"/>
      <c r="D208" s="18" t="n"/>
      <c r="E208" s="18" t="n"/>
      <c r="F208" s="24" t="n"/>
      <c r="G208" s="18" t="n"/>
      <c r="H208" s="25">
        <f>IF(C208="","",SUMPRODUCT(($C$25:C208=C208)*(2*($D$25:D208="Доход")-1)*$F$25:F208))</f>
        <v/>
      </c>
    </row>
    <row r="209">
      <c r="B209" s="18" t="n"/>
      <c r="C209" s="18" t="n"/>
      <c r="D209" s="18" t="n"/>
      <c r="E209" s="18" t="n"/>
      <c r="F209" s="24" t="n"/>
      <c r="G209" s="18" t="n"/>
      <c r="H209" s="25">
        <f>IF(C209="","",SUMPRODUCT(($C$25:C209=C209)*(2*($D$25:D209="Доход")-1)*$F$25:F209))</f>
        <v/>
      </c>
    </row>
    <row r="210">
      <c r="B210" s="18" t="n"/>
      <c r="C210" s="18" t="n"/>
      <c r="D210" s="18" t="n"/>
      <c r="E210" s="18" t="n"/>
      <c r="F210" s="24" t="n"/>
      <c r="G210" s="18" t="n"/>
      <c r="H210" s="25">
        <f>IF(C210="","",SUMPRODUCT(($C$25:C210=C210)*(2*($D$25:D210="Доход")-1)*$F$25:F210))</f>
        <v/>
      </c>
    </row>
    <row r="211">
      <c r="B211" s="18" t="n"/>
      <c r="C211" s="18" t="n"/>
      <c r="D211" s="18" t="n"/>
      <c r="E211" s="18" t="n"/>
      <c r="F211" s="24" t="n"/>
      <c r="G211" s="18" t="n"/>
      <c r="H211" s="25">
        <f>IF(C211="","",SUMPRODUCT(($C$25:C211=C211)*(2*($D$25:D211="Доход")-1)*$F$25:F211))</f>
        <v/>
      </c>
    </row>
    <row r="212">
      <c r="B212" s="18" t="n"/>
      <c r="C212" s="18" t="n"/>
      <c r="D212" s="18" t="n"/>
      <c r="E212" s="18" t="n"/>
      <c r="F212" s="24" t="n"/>
      <c r="G212" s="18" t="n"/>
      <c r="H212" s="25">
        <f>IF(C212="","",SUMPRODUCT(($C$25:C212=C212)*(2*($D$25:D212="Доход")-1)*$F$25:F212))</f>
        <v/>
      </c>
    </row>
    <row r="213">
      <c r="B213" s="18" t="n"/>
      <c r="C213" s="18" t="n"/>
      <c r="D213" s="18" t="n"/>
      <c r="E213" s="18" t="n"/>
      <c r="F213" s="24" t="n"/>
      <c r="G213" s="18" t="n"/>
      <c r="H213" s="25">
        <f>IF(C213="","",SUMPRODUCT(($C$25:C213=C213)*(2*($D$25:D213="Доход")-1)*$F$25:F213))</f>
        <v/>
      </c>
    </row>
    <row r="214">
      <c r="B214" s="18" t="n"/>
      <c r="C214" s="18" t="n"/>
      <c r="D214" s="18" t="n"/>
      <c r="E214" s="18" t="n"/>
      <c r="F214" s="24" t="n"/>
      <c r="G214" s="18" t="n"/>
      <c r="H214" s="25">
        <f>IF(C214="","",SUMPRODUCT(($C$25:C214=C214)*(2*($D$25:D214="Доход")-1)*$F$25:F214))</f>
        <v/>
      </c>
    </row>
    <row r="215">
      <c r="B215" s="18" t="n"/>
      <c r="C215" s="18" t="n"/>
      <c r="D215" s="18" t="n"/>
      <c r="E215" s="18" t="n"/>
      <c r="F215" s="24" t="n"/>
      <c r="G215" s="18" t="n"/>
      <c r="H215" s="25">
        <f>IF(C215="","",SUMPRODUCT(($C$25:C215=C215)*(2*($D$25:D215="Доход")-1)*$F$25:F215))</f>
        <v/>
      </c>
    </row>
    <row r="216">
      <c r="B216" s="18" t="n"/>
      <c r="C216" s="18" t="n"/>
      <c r="D216" s="18" t="n"/>
      <c r="E216" s="18" t="n"/>
      <c r="F216" s="24" t="n"/>
      <c r="G216" s="18" t="n"/>
      <c r="H216" s="25">
        <f>IF(C216="","",SUMPRODUCT(($C$25:C216=C216)*(2*($D$25:D216="Доход")-1)*$F$25:F216))</f>
        <v/>
      </c>
    </row>
    <row r="217">
      <c r="B217" s="18" t="n"/>
      <c r="C217" s="18" t="n"/>
      <c r="D217" s="18" t="n"/>
      <c r="E217" s="18" t="n"/>
      <c r="F217" s="24" t="n"/>
      <c r="G217" s="18" t="n"/>
      <c r="H217" s="25">
        <f>IF(C217="","",SUMPRODUCT(($C$25:C217=C217)*(2*($D$25:D217="Доход")-1)*$F$25:F217))</f>
        <v/>
      </c>
    </row>
    <row r="218">
      <c r="B218" s="18" t="n"/>
      <c r="C218" s="18" t="n"/>
      <c r="D218" s="18" t="n"/>
      <c r="E218" s="18" t="n"/>
      <c r="F218" s="24" t="n"/>
      <c r="G218" s="18" t="n"/>
      <c r="H218" s="25">
        <f>IF(C218="","",SUMPRODUCT(($C$25:C218=C218)*(2*($D$25:D218="Доход")-1)*$F$25:F218))</f>
        <v/>
      </c>
    </row>
    <row r="219">
      <c r="B219" s="18" t="n"/>
      <c r="C219" s="18" t="n"/>
      <c r="D219" s="18" t="n"/>
      <c r="E219" s="18" t="n"/>
      <c r="F219" s="24" t="n"/>
      <c r="G219" s="18" t="n"/>
      <c r="H219" s="25">
        <f>IF(C219="","",SUMPRODUCT(($C$25:C219=C219)*(2*($D$25:D219="Доход")-1)*$F$25:F219))</f>
        <v/>
      </c>
    </row>
    <row r="220">
      <c r="B220" s="18" t="n"/>
      <c r="C220" s="18" t="n"/>
      <c r="D220" s="18" t="n"/>
      <c r="E220" s="18" t="n"/>
      <c r="F220" s="24" t="n"/>
      <c r="G220" s="18" t="n"/>
      <c r="H220" s="25">
        <f>IF(C220="","",SUMPRODUCT(($C$25:C220=C220)*(2*($D$25:D220="Доход")-1)*$F$25:F220))</f>
        <v/>
      </c>
    </row>
    <row r="221">
      <c r="B221" s="18" t="n"/>
      <c r="C221" s="18" t="n"/>
      <c r="D221" s="18" t="n"/>
      <c r="E221" s="18" t="n"/>
      <c r="F221" s="24" t="n"/>
      <c r="G221" s="18" t="n"/>
      <c r="H221" s="25">
        <f>IF(C221="","",SUMPRODUCT(($C$25:C221=C221)*(2*($D$25:D221="Доход")-1)*$F$25:F221))</f>
        <v/>
      </c>
    </row>
    <row r="222">
      <c r="B222" s="18" t="n"/>
      <c r="C222" s="18" t="n"/>
      <c r="D222" s="18" t="n"/>
      <c r="E222" s="18" t="n"/>
      <c r="F222" s="24" t="n"/>
      <c r="G222" s="18" t="n"/>
      <c r="H222" s="25">
        <f>IF(C222="","",SUMPRODUCT(($C$25:C222=C222)*(2*($D$25:D222="Доход")-1)*$F$25:F222))</f>
        <v/>
      </c>
    </row>
    <row r="223">
      <c r="B223" s="18" t="n"/>
      <c r="C223" s="18" t="n"/>
      <c r="D223" s="18" t="n"/>
      <c r="E223" s="18" t="n"/>
      <c r="F223" s="24" t="n"/>
      <c r="G223" s="18" t="n"/>
      <c r="H223" s="25">
        <f>IF(C223="","",SUMPRODUCT(($C$25:C223=C223)*(2*($D$25:D223="Доход")-1)*$F$25:F223))</f>
        <v/>
      </c>
    </row>
    <row r="224">
      <c r="B224" s="18" t="n"/>
      <c r="C224" s="18" t="n"/>
      <c r="D224" s="18" t="n"/>
      <c r="E224" s="18" t="n"/>
      <c r="F224" s="24" t="n"/>
      <c r="G224" s="18" t="n"/>
      <c r="H224" s="25">
        <f>IF(C224="","",SUMPRODUCT(($C$25:C224=C224)*(2*($D$25:D224="Доход")-1)*$F$25:F224))</f>
        <v/>
      </c>
    </row>
  </sheetData>
  <mergeCells count="9">
    <mergeCell ref="F5:H5"/>
    <mergeCell ref="F6:H8"/>
    <mergeCell ref="B5:C5"/>
    <mergeCell ref="D5:E5"/>
    <mergeCell ref="B10:C10"/>
    <mergeCell ref="D6:E8"/>
    <mergeCell ref="B6:C8"/>
    <mergeCell ref="A1:H1"/>
    <mergeCell ref="B23:H23"/>
  </mergeCells>
  <conditionalFormatting sqref="C12:C21">
    <cfRule type="cellIs" priority="1" operator="lessThan" dxfId="0">
      <formula>0</formula>
    </cfRule>
  </conditionalFormatting>
  <conditionalFormatting sqref="D25:D224">
    <cfRule type="expression" priority="2" dxfId="1">
      <formula>D25="Доход"</formula>
    </cfRule>
    <cfRule type="expression" priority="3" dxfId="2">
      <formula>D25="Расход"</formula>
    </cfRule>
  </conditionalFormatting>
  <dataValidations count="3">
    <dataValidation sqref="C25:C224" showDropDown="0" showInputMessage="0" showErrorMessage="0" allowBlank="1" type="list">
      <formula1>=Справочник!$K$3:$K$9</formula1>
    </dataValidation>
    <dataValidation sqref="D25:D224" showDropDown="0" showInputMessage="0" showErrorMessage="0" allowBlank="1" type="list">
      <formula1>"Доход,Расход"</formula1>
    </dataValidation>
    <dataValidation sqref="E25:E224" showDropDown="0" showInputMessage="0" showErrorMessage="0" allowBlank="1" type="list">
      <formula1>=Справочник!$J$3:$J$20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9DC3A4"/>
    <outlinePr summaryBelow="1" summaryRight="1"/>
    <pageSetUpPr/>
  </sheetPr>
  <dimension ref="A1:AG6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7" customWidth="1" min="2" max="2"/>
    <col width="3.4" customWidth="1" min="3" max="3"/>
    <col width="3.4" customWidth="1" min="4" max="4"/>
    <col width="3.4" customWidth="1" min="5" max="5"/>
    <col width="3.4" customWidth="1" min="6" max="6"/>
    <col width="3.4" customWidth="1" min="7" max="7"/>
    <col width="3.4" customWidth="1" min="8" max="8"/>
    <col width="3.4" customWidth="1" min="9" max="9"/>
    <col width="3.4" customWidth="1" min="10" max="10"/>
    <col width="3.4" customWidth="1" min="11" max="11"/>
    <col width="3.4" customWidth="1" min="12" max="12"/>
    <col width="3.4" customWidth="1" min="13" max="13"/>
    <col width="3.4" customWidth="1" min="14" max="14"/>
    <col width="3.4" customWidth="1" min="15" max="15"/>
    <col width="3.4" customWidth="1" min="16" max="16"/>
    <col width="3.4" customWidth="1" min="17" max="17"/>
    <col width="3.4" customWidth="1" min="18" max="18"/>
    <col width="3.4" customWidth="1" min="19" max="19"/>
    <col width="3.4" customWidth="1" min="20" max="20"/>
    <col width="3.4" customWidth="1" min="21" max="21"/>
    <col width="3.4" customWidth="1" min="22" max="22"/>
    <col width="3.4" customWidth="1" min="23" max="23"/>
    <col width="3.4" customWidth="1" min="24" max="24"/>
    <col width="3.4" customWidth="1" min="25" max="25"/>
    <col width="3.4" customWidth="1" min="26" max="26"/>
    <col width="3.4" customWidth="1" min="27" max="27"/>
    <col width="3.4" customWidth="1" min="28" max="28"/>
    <col width="3.4" customWidth="1" min="29" max="29"/>
    <col width="3.4" customWidth="1" min="30" max="30"/>
    <col width="3.4" customWidth="1" min="31" max="31"/>
    <col width="3.4" customWidth="1" min="32" max="32"/>
    <col width="3.4" customWidth="1" min="33" max="33"/>
  </cols>
  <sheetData>
    <row r="1" ht="28" customHeight="1">
      <c r="A1" s="26" t="inlineStr">
        <is>
          <t>🌿  ТРЕКЕР ПРИВЫЧЕК</t>
        </is>
      </c>
      <c r="B1" s="27" t="n"/>
      <c r="C1" s="27" t="n"/>
      <c r="D1" s="27" t="n"/>
      <c r="E1" s="27" t="n"/>
      <c r="F1" s="27" t="n"/>
      <c r="G1" s="27" t="n"/>
      <c r="H1" s="27" t="n"/>
      <c r="I1" s="27" t="n"/>
      <c r="J1" s="27" t="n"/>
      <c r="K1" s="27" t="n"/>
      <c r="L1" s="27" t="n"/>
      <c r="M1" s="27" t="n"/>
      <c r="N1" s="27" t="n"/>
      <c r="O1" s="27" t="n"/>
      <c r="P1" s="27" t="n"/>
      <c r="Q1" s="27" t="n"/>
      <c r="R1" s="27" t="n"/>
      <c r="S1" s="27" t="n"/>
      <c r="T1" s="27" t="n"/>
      <c r="U1" s="27" t="n"/>
      <c r="V1" s="27" t="n"/>
      <c r="W1" s="27" t="n"/>
      <c r="X1" s="27" t="n"/>
      <c r="Y1" s="27" t="n"/>
      <c r="Z1" s="27" t="n"/>
      <c r="AA1" s="27" t="n"/>
      <c r="AB1" s="27" t="n"/>
      <c r="AC1" s="27" t="n"/>
      <c r="AD1" s="27" t="n"/>
      <c r="AE1" s="27" t="n"/>
      <c r="AF1" s="27" t="n"/>
      <c r="AG1" s="27" t="n"/>
    </row>
    <row r="2">
      <c r="A2" s="3" t="inlineStr">
        <is>
          <t>Месяц:</t>
        </is>
      </c>
      <c r="B2" s="28" t="inlineStr">
        <is>
          <t>Июль</t>
        </is>
      </c>
      <c r="C2" s="3" t="inlineStr">
        <is>
          <t>Год:</t>
        </is>
      </c>
      <c r="D2" s="28" t="n">
        <v>2026</v>
      </c>
    </row>
    <row r="4">
      <c r="B4" s="29">
        <f>UPPER(TEXT(DATE($D$2,MATCH($B$2,Справочник!$L$3:$L$14,0),1),"mmmm"))&amp;CHAR(10)&amp;TEXT(DATE($D$2,MATCH($B$2,Справочник!$L$3:$L$14,0),1),"d mmmm yyyy")</f>
        <v/>
      </c>
      <c r="C4" s="13" t="inlineStr">
        <is>
          <t>НЕДЕЛЯ 1</t>
        </is>
      </c>
      <c r="D4" s="14" t="n"/>
      <c r="E4" s="14" t="n"/>
      <c r="F4" s="14" t="n"/>
      <c r="G4" s="14" t="n"/>
      <c r="H4" s="14" t="n"/>
      <c r="I4" s="14" t="n"/>
      <c r="J4" s="5" t="inlineStr">
        <is>
          <t>НЕДЕЛЯ 2</t>
        </is>
      </c>
      <c r="K4" s="6" t="n"/>
      <c r="L4" s="6" t="n"/>
      <c r="M4" s="6" t="n"/>
      <c r="N4" s="6" t="n"/>
      <c r="O4" s="6" t="n"/>
      <c r="P4" s="6" t="n"/>
      <c r="Q4" s="7" t="inlineStr">
        <is>
          <t>НЕДЕЛЯ 3</t>
        </is>
      </c>
      <c r="R4" s="8" t="n"/>
      <c r="S4" s="8" t="n"/>
      <c r="T4" s="8" t="n"/>
      <c r="U4" s="8" t="n"/>
      <c r="V4" s="8" t="n"/>
      <c r="W4" s="8" t="n"/>
      <c r="X4" s="30" t="inlineStr">
        <is>
          <t>НЕДЕЛЯ 4</t>
        </is>
      </c>
      <c r="Y4" s="31" t="n"/>
      <c r="Z4" s="31" t="n"/>
      <c r="AA4" s="31" t="n"/>
      <c r="AB4" s="31" t="n"/>
      <c r="AC4" s="31" t="n"/>
      <c r="AD4" s="31" t="n"/>
      <c r="AE4" s="5" t="inlineStr">
        <is>
          <t>ДОП.</t>
        </is>
      </c>
      <c r="AF4" s="6" t="n"/>
      <c r="AG4" s="6" t="n"/>
    </row>
    <row r="5">
      <c r="B5" s="12" t="n"/>
      <c r="C5" s="17">
        <f>TEXT(DATE($D$2,MATCH($B$2,Справочник!$L$3:$L$14,0),1)+0,"ddd")</f>
        <v/>
      </c>
      <c r="D5" s="17">
        <f>TEXT(DATE($D$2,MATCH($B$2,Справочник!$L$3:$L$14,0),1)+1,"ddd")</f>
        <v/>
      </c>
      <c r="E5" s="17">
        <f>TEXT(DATE($D$2,MATCH($B$2,Справочник!$L$3:$L$14,0),1)+2,"ddd")</f>
        <v/>
      </c>
      <c r="F5" s="17">
        <f>TEXT(DATE($D$2,MATCH($B$2,Справочник!$L$3:$L$14,0),1)+3,"ddd")</f>
        <v/>
      </c>
      <c r="G5" s="17">
        <f>TEXT(DATE($D$2,MATCH($B$2,Справочник!$L$3:$L$14,0),1)+4,"ddd")</f>
        <v/>
      </c>
      <c r="H5" s="17">
        <f>TEXT(DATE($D$2,MATCH($B$2,Справочник!$L$3:$L$14,0),1)+5,"ddd")</f>
        <v/>
      </c>
      <c r="I5" s="17">
        <f>TEXT(DATE($D$2,MATCH($B$2,Справочник!$L$3:$L$14,0),1)+6,"ddd")</f>
        <v/>
      </c>
      <c r="J5" s="17">
        <f>TEXT(DATE($D$2,MATCH($B$2,Справочник!$L$3:$L$14,0),1)+7,"ddd")</f>
        <v/>
      </c>
      <c r="K5" s="17">
        <f>TEXT(DATE($D$2,MATCH($B$2,Справочник!$L$3:$L$14,0),1)+8,"ddd")</f>
        <v/>
      </c>
      <c r="L5" s="17">
        <f>TEXT(DATE($D$2,MATCH($B$2,Справочник!$L$3:$L$14,0),1)+9,"ddd")</f>
        <v/>
      </c>
      <c r="M5" s="17">
        <f>TEXT(DATE($D$2,MATCH($B$2,Справочник!$L$3:$L$14,0),1)+10,"ddd")</f>
        <v/>
      </c>
      <c r="N5" s="17">
        <f>TEXT(DATE($D$2,MATCH($B$2,Справочник!$L$3:$L$14,0),1)+11,"ddd")</f>
        <v/>
      </c>
      <c r="O5" s="17">
        <f>TEXT(DATE($D$2,MATCH($B$2,Справочник!$L$3:$L$14,0),1)+12,"ddd")</f>
        <v/>
      </c>
      <c r="P5" s="17">
        <f>TEXT(DATE($D$2,MATCH($B$2,Справочник!$L$3:$L$14,0),1)+13,"ddd")</f>
        <v/>
      </c>
      <c r="Q5" s="17">
        <f>TEXT(DATE($D$2,MATCH($B$2,Справочник!$L$3:$L$14,0),1)+14,"ddd")</f>
        <v/>
      </c>
      <c r="R5" s="17">
        <f>TEXT(DATE($D$2,MATCH($B$2,Справочник!$L$3:$L$14,0),1)+15,"ddd")</f>
        <v/>
      </c>
      <c r="S5" s="17">
        <f>TEXT(DATE($D$2,MATCH($B$2,Справочник!$L$3:$L$14,0),1)+16,"ddd")</f>
        <v/>
      </c>
      <c r="T5" s="17">
        <f>TEXT(DATE($D$2,MATCH($B$2,Справочник!$L$3:$L$14,0),1)+17,"ddd")</f>
        <v/>
      </c>
      <c r="U5" s="17">
        <f>TEXT(DATE($D$2,MATCH($B$2,Справочник!$L$3:$L$14,0),1)+18,"ddd")</f>
        <v/>
      </c>
      <c r="V5" s="17">
        <f>TEXT(DATE($D$2,MATCH($B$2,Справочник!$L$3:$L$14,0),1)+19,"ddd")</f>
        <v/>
      </c>
      <c r="W5" s="17">
        <f>TEXT(DATE($D$2,MATCH($B$2,Справочник!$L$3:$L$14,0),1)+20,"ddd")</f>
        <v/>
      </c>
      <c r="X5" s="17">
        <f>TEXT(DATE($D$2,MATCH($B$2,Справочник!$L$3:$L$14,0),1)+21,"ddd")</f>
        <v/>
      </c>
      <c r="Y5" s="17">
        <f>TEXT(DATE($D$2,MATCH($B$2,Справочник!$L$3:$L$14,0),1)+22,"ddd")</f>
        <v/>
      </c>
      <c r="Z5" s="17">
        <f>TEXT(DATE($D$2,MATCH($B$2,Справочник!$L$3:$L$14,0),1)+23,"ddd")</f>
        <v/>
      </c>
      <c r="AA5" s="17">
        <f>TEXT(DATE($D$2,MATCH($B$2,Справочник!$L$3:$L$14,0),1)+24,"ddd")</f>
        <v/>
      </c>
      <c r="AB5" s="17">
        <f>TEXT(DATE($D$2,MATCH($B$2,Справочник!$L$3:$L$14,0),1)+25,"ddd")</f>
        <v/>
      </c>
      <c r="AC5" s="17">
        <f>TEXT(DATE($D$2,MATCH($B$2,Справочник!$L$3:$L$14,0),1)+26,"ddd")</f>
        <v/>
      </c>
      <c r="AD5" s="17">
        <f>TEXT(DATE($D$2,MATCH($B$2,Справочник!$L$3:$L$14,0),1)+27,"ddd")</f>
        <v/>
      </c>
      <c r="AE5" s="17">
        <f>TEXT(DATE($D$2,MATCH($B$2,Справочник!$L$3:$L$14,0),1)+28,"ddd")</f>
        <v/>
      </c>
      <c r="AF5" s="17">
        <f>TEXT(DATE($D$2,MATCH($B$2,Справочник!$L$3:$L$14,0),1)+29,"ddd")</f>
        <v/>
      </c>
      <c r="AG5" s="17">
        <f>TEXT(DATE($D$2,MATCH($B$2,Справочник!$L$3:$L$14,0),1)+30,"ddd")</f>
        <v/>
      </c>
    </row>
    <row r="6">
      <c r="C6" s="32">
        <f>DAY(DATE($D$2,MATCH($B$2,Справочник!$L$3:$L$14,0),1)+0)</f>
        <v/>
      </c>
      <c r="D6" s="32">
        <f>DAY(DATE($D$2,MATCH($B$2,Справочник!$L$3:$L$14,0),1)+1)</f>
        <v/>
      </c>
      <c r="E6" s="32">
        <f>DAY(DATE($D$2,MATCH($B$2,Справочник!$L$3:$L$14,0),1)+2)</f>
        <v/>
      </c>
      <c r="F6" s="32">
        <f>DAY(DATE($D$2,MATCH($B$2,Справочник!$L$3:$L$14,0),1)+3)</f>
        <v/>
      </c>
      <c r="G6" s="32">
        <f>DAY(DATE($D$2,MATCH($B$2,Справочник!$L$3:$L$14,0),1)+4)</f>
        <v/>
      </c>
      <c r="H6" s="32">
        <f>DAY(DATE($D$2,MATCH($B$2,Справочник!$L$3:$L$14,0),1)+5)</f>
        <v/>
      </c>
      <c r="I6" s="32">
        <f>DAY(DATE($D$2,MATCH($B$2,Справочник!$L$3:$L$14,0),1)+6)</f>
        <v/>
      </c>
      <c r="J6" s="32">
        <f>DAY(DATE($D$2,MATCH($B$2,Справочник!$L$3:$L$14,0),1)+7)</f>
        <v/>
      </c>
      <c r="K6" s="32">
        <f>DAY(DATE($D$2,MATCH($B$2,Справочник!$L$3:$L$14,0),1)+8)</f>
        <v/>
      </c>
      <c r="L6" s="32">
        <f>DAY(DATE($D$2,MATCH($B$2,Справочник!$L$3:$L$14,0),1)+9)</f>
        <v/>
      </c>
      <c r="M6" s="32">
        <f>DAY(DATE($D$2,MATCH($B$2,Справочник!$L$3:$L$14,0),1)+10)</f>
        <v/>
      </c>
      <c r="N6" s="32">
        <f>DAY(DATE($D$2,MATCH($B$2,Справочник!$L$3:$L$14,0),1)+11)</f>
        <v/>
      </c>
      <c r="O6" s="32">
        <f>DAY(DATE($D$2,MATCH($B$2,Справочник!$L$3:$L$14,0),1)+12)</f>
        <v/>
      </c>
      <c r="P6" s="32">
        <f>DAY(DATE($D$2,MATCH($B$2,Справочник!$L$3:$L$14,0),1)+13)</f>
        <v/>
      </c>
      <c r="Q6" s="32">
        <f>DAY(DATE($D$2,MATCH($B$2,Справочник!$L$3:$L$14,0),1)+14)</f>
        <v/>
      </c>
      <c r="R6" s="32">
        <f>DAY(DATE($D$2,MATCH($B$2,Справочник!$L$3:$L$14,0),1)+15)</f>
        <v/>
      </c>
      <c r="S6" s="32">
        <f>DAY(DATE($D$2,MATCH($B$2,Справочник!$L$3:$L$14,0),1)+16)</f>
        <v/>
      </c>
      <c r="T6" s="32">
        <f>DAY(DATE($D$2,MATCH($B$2,Справочник!$L$3:$L$14,0),1)+17)</f>
        <v/>
      </c>
      <c r="U6" s="32">
        <f>DAY(DATE($D$2,MATCH($B$2,Справочник!$L$3:$L$14,0),1)+18)</f>
        <v/>
      </c>
      <c r="V6" s="32">
        <f>DAY(DATE($D$2,MATCH($B$2,Справочник!$L$3:$L$14,0),1)+19)</f>
        <v/>
      </c>
      <c r="W6" s="32">
        <f>DAY(DATE($D$2,MATCH($B$2,Справочник!$L$3:$L$14,0),1)+20)</f>
        <v/>
      </c>
      <c r="X6" s="32">
        <f>DAY(DATE($D$2,MATCH($B$2,Справочник!$L$3:$L$14,0),1)+21)</f>
        <v/>
      </c>
      <c r="Y6" s="32">
        <f>DAY(DATE($D$2,MATCH($B$2,Справочник!$L$3:$L$14,0),1)+22)</f>
        <v/>
      </c>
      <c r="Z6" s="32">
        <f>DAY(DATE($D$2,MATCH($B$2,Справочник!$L$3:$L$14,0),1)+23)</f>
        <v/>
      </c>
      <c r="AA6" s="32">
        <f>DAY(DATE($D$2,MATCH($B$2,Справочник!$L$3:$L$14,0),1)+24)</f>
        <v/>
      </c>
      <c r="AB6" s="32">
        <f>DAY(DATE($D$2,MATCH($B$2,Справочник!$L$3:$L$14,0),1)+25)</f>
        <v/>
      </c>
      <c r="AC6" s="32">
        <f>DAY(DATE($D$2,MATCH($B$2,Справочник!$L$3:$L$14,0),1)+26)</f>
        <v/>
      </c>
      <c r="AD6" s="32">
        <f>DAY(DATE($D$2,MATCH($B$2,Справочник!$L$3:$L$14,0),1)+27)</f>
        <v/>
      </c>
      <c r="AE6" s="32">
        <f>DAY(DATE($D$2,MATCH($B$2,Справочник!$L$3:$L$14,0),1)+28)</f>
        <v/>
      </c>
      <c r="AF6" s="32">
        <f>DAY(DATE($D$2,MATCH($B$2,Справочник!$L$3:$L$14,0),1)+29)</f>
        <v/>
      </c>
      <c r="AG6" s="32">
        <f>DAY(DATE($D$2,MATCH($B$2,Справочник!$L$3:$L$14,0),1)+30)</f>
        <v/>
      </c>
    </row>
    <row r="7">
      <c r="A7" s="33" t="n">
        <v>1</v>
      </c>
      <c r="B7" s="18" t="inlineStr">
        <is>
          <t>💧 2 литра воды</t>
        </is>
      </c>
      <c r="C7" s="34" t="b">
        <v>0</v>
      </c>
      <c r="D7" s="34" t="b">
        <v>0</v>
      </c>
      <c r="E7" s="34" t="b">
        <v>0</v>
      </c>
      <c r="F7" s="34" t="b">
        <v>0</v>
      </c>
      <c r="G7" s="34" t="b">
        <v>0</v>
      </c>
      <c r="H7" s="34" t="b">
        <v>0</v>
      </c>
      <c r="I7" s="34" t="b">
        <v>0</v>
      </c>
      <c r="J7" s="34" t="b">
        <v>0</v>
      </c>
      <c r="K7" s="34" t="b">
        <v>0</v>
      </c>
      <c r="L7" s="34" t="b">
        <v>0</v>
      </c>
      <c r="M7" s="34" t="b">
        <v>0</v>
      </c>
      <c r="N7" s="34" t="b">
        <v>0</v>
      </c>
      <c r="O7" s="34" t="b">
        <v>0</v>
      </c>
      <c r="P7" s="34" t="b">
        <v>0</v>
      </c>
      <c r="Q7" s="34" t="b">
        <v>0</v>
      </c>
      <c r="R7" s="34" t="b">
        <v>0</v>
      </c>
      <c r="S7" s="34" t="b">
        <v>0</v>
      </c>
      <c r="T7" s="34" t="b">
        <v>0</v>
      </c>
      <c r="U7" s="34" t="b">
        <v>0</v>
      </c>
      <c r="V7" s="34" t="b">
        <v>0</v>
      </c>
      <c r="W7" s="34" t="b">
        <v>0</v>
      </c>
      <c r="X7" s="34" t="b">
        <v>0</v>
      </c>
      <c r="Y7" s="34" t="b">
        <v>0</v>
      </c>
      <c r="Z7" s="34" t="b">
        <v>0</v>
      </c>
      <c r="AA7" s="34" t="b">
        <v>0</v>
      </c>
      <c r="AB7" s="34" t="b">
        <v>0</v>
      </c>
      <c r="AC7" s="34" t="b">
        <v>0</v>
      </c>
      <c r="AD7" s="34" t="b">
        <v>0</v>
      </c>
      <c r="AE7" s="34" t="b">
        <v>0</v>
      </c>
      <c r="AF7" s="34" t="b">
        <v>0</v>
      </c>
      <c r="AG7" s="34" t="b">
        <v>0</v>
      </c>
    </row>
    <row r="8">
      <c r="A8" s="33" t="n">
        <v>2</v>
      </c>
      <c r="B8" s="18" t="inlineStr">
        <is>
          <t>🏃 Спортзал в 19:00</t>
        </is>
      </c>
      <c r="C8" s="34" t="b">
        <v>0</v>
      </c>
      <c r="D8" s="34" t="b">
        <v>0</v>
      </c>
      <c r="E8" s="34" t="b">
        <v>0</v>
      </c>
      <c r="F8" s="34" t="b">
        <v>0</v>
      </c>
      <c r="G8" s="34" t="b">
        <v>0</v>
      </c>
      <c r="H8" s="34" t="b">
        <v>0</v>
      </c>
      <c r="I8" s="34" t="b">
        <v>0</v>
      </c>
      <c r="J8" s="34" t="b">
        <v>0</v>
      </c>
      <c r="K8" s="34" t="b">
        <v>0</v>
      </c>
      <c r="L8" s="34" t="b">
        <v>0</v>
      </c>
      <c r="M8" s="34" t="b">
        <v>0</v>
      </c>
      <c r="N8" s="34" t="b">
        <v>0</v>
      </c>
      <c r="O8" s="34" t="b">
        <v>0</v>
      </c>
      <c r="P8" s="34" t="b">
        <v>0</v>
      </c>
      <c r="Q8" s="34" t="b">
        <v>0</v>
      </c>
      <c r="R8" s="34" t="b">
        <v>0</v>
      </c>
      <c r="S8" s="34" t="b">
        <v>0</v>
      </c>
      <c r="T8" s="34" t="b">
        <v>0</v>
      </c>
      <c r="U8" s="34" t="b">
        <v>0</v>
      </c>
      <c r="V8" s="34" t="b">
        <v>0</v>
      </c>
      <c r="W8" s="34" t="b">
        <v>0</v>
      </c>
      <c r="X8" s="34" t="b">
        <v>0</v>
      </c>
      <c r="Y8" s="34" t="b">
        <v>0</v>
      </c>
      <c r="Z8" s="34" t="b">
        <v>0</v>
      </c>
      <c r="AA8" s="34" t="b">
        <v>0</v>
      </c>
      <c r="AB8" s="34" t="b">
        <v>0</v>
      </c>
      <c r="AC8" s="34" t="b">
        <v>0</v>
      </c>
      <c r="AD8" s="34" t="b">
        <v>0</v>
      </c>
      <c r="AE8" s="34" t="b">
        <v>0</v>
      </c>
      <c r="AF8" s="34" t="b">
        <v>0</v>
      </c>
      <c r="AG8" s="34" t="b">
        <v>0</v>
      </c>
    </row>
    <row r="9">
      <c r="A9" s="33" t="n">
        <v>3</v>
      </c>
      <c r="B9" s="18" t="inlineStr">
        <is>
          <t>📖 Чтение 30 мин</t>
        </is>
      </c>
      <c r="C9" s="34" t="b">
        <v>0</v>
      </c>
      <c r="D9" s="34" t="b">
        <v>0</v>
      </c>
      <c r="E9" s="34" t="b">
        <v>0</v>
      </c>
      <c r="F9" s="34" t="b">
        <v>0</v>
      </c>
      <c r="G9" s="34" t="b">
        <v>0</v>
      </c>
      <c r="H9" s="34" t="b">
        <v>0</v>
      </c>
      <c r="I9" s="34" t="b">
        <v>0</v>
      </c>
      <c r="J9" s="34" t="b">
        <v>0</v>
      </c>
      <c r="K9" s="34" t="b">
        <v>0</v>
      </c>
      <c r="L9" s="34" t="b">
        <v>0</v>
      </c>
      <c r="M9" s="34" t="b">
        <v>0</v>
      </c>
      <c r="N9" s="34" t="b">
        <v>0</v>
      </c>
      <c r="O9" s="34" t="b">
        <v>0</v>
      </c>
      <c r="P9" s="34" t="b">
        <v>0</v>
      </c>
      <c r="Q9" s="34" t="b">
        <v>0</v>
      </c>
      <c r="R9" s="34" t="b">
        <v>0</v>
      </c>
      <c r="S9" s="34" t="b">
        <v>0</v>
      </c>
      <c r="T9" s="34" t="b">
        <v>0</v>
      </c>
      <c r="U9" s="34" t="b">
        <v>0</v>
      </c>
      <c r="V9" s="34" t="b">
        <v>0</v>
      </c>
      <c r="W9" s="34" t="b">
        <v>0</v>
      </c>
      <c r="X9" s="34" t="b">
        <v>0</v>
      </c>
      <c r="Y9" s="34" t="b">
        <v>0</v>
      </c>
      <c r="Z9" s="34" t="b">
        <v>0</v>
      </c>
      <c r="AA9" s="34" t="b">
        <v>0</v>
      </c>
      <c r="AB9" s="34" t="b">
        <v>0</v>
      </c>
      <c r="AC9" s="34" t="b">
        <v>0</v>
      </c>
      <c r="AD9" s="34" t="b">
        <v>0</v>
      </c>
      <c r="AE9" s="34" t="b">
        <v>0</v>
      </c>
      <c r="AF9" s="34" t="b">
        <v>0</v>
      </c>
      <c r="AG9" s="34" t="b">
        <v>0</v>
      </c>
    </row>
    <row r="10">
      <c r="A10" s="33" t="n">
        <v>4</v>
      </c>
      <c r="B10" s="18" t="inlineStr">
        <is>
          <t>📓 Ведение дневника</t>
        </is>
      </c>
      <c r="C10" s="34" t="b">
        <v>0</v>
      </c>
      <c r="D10" s="34" t="b">
        <v>0</v>
      </c>
      <c r="E10" s="34" t="b">
        <v>0</v>
      </c>
      <c r="F10" s="34" t="b">
        <v>0</v>
      </c>
      <c r="G10" s="34" t="b">
        <v>0</v>
      </c>
      <c r="H10" s="34" t="b">
        <v>0</v>
      </c>
      <c r="I10" s="34" t="b">
        <v>0</v>
      </c>
      <c r="J10" s="34" t="b">
        <v>0</v>
      </c>
      <c r="K10" s="34" t="b">
        <v>0</v>
      </c>
      <c r="L10" s="34" t="b">
        <v>0</v>
      </c>
      <c r="M10" s="34" t="b">
        <v>0</v>
      </c>
      <c r="N10" s="34" t="b">
        <v>0</v>
      </c>
      <c r="O10" s="34" t="b">
        <v>0</v>
      </c>
      <c r="P10" s="34" t="b">
        <v>0</v>
      </c>
      <c r="Q10" s="34" t="b">
        <v>0</v>
      </c>
      <c r="R10" s="34" t="b">
        <v>0</v>
      </c>
      <c r="S10" s="34" t="b">
        <v>0</v>
      </c>
      <c r="T10" s="34" t="b">
        <v>0</v>
      </c>
      <c r="U10" s="34" t="b">
        <v>0</v>
      </c>
      <c r="V10" s="34" t="b">
        <v>0</v>
      </c>
      <c r="W10" s="34" t="b">
        <v>0</v>
      </c>
      <c r="X10" s="34" t="b">
        <v>0</v>
      </c>
      <c r="Y10" s="34" t="b">
        <v>0</v>
      </c>
      <c r="Z10" s="34" t="b">
        <v>0</v>
      </c>
      <c r="AA10" s="34" t="b">
        <v>0</v>
      </c>
      <c r="AB10" s="34" t="b">
        <v>0</v>
      </c>
      <c r="AC10" s="34" t="b">
        <v>0</v>
      </c>
      <c r="AD10" s="34" t="b">
        <v>0</v>
      </c>
      <c r="AE10" s="34" t="b">
        <v>0</v>
      </c>
      <c r="AF10" s="34" t="b">
        <v>0</v>
      </c>
      <c r="AG10" s="34" t="b">
        <v>0</v>
      </c>
    </row>
    <row r="11">
      <c r="A11" s="33" t="n">
        <v>5</v>
      </c>
      <c r="B11" s="18" t="inlineStr">
        <is>
          <t>💼 Работа — 5 часов</t>
        </is>
      </c>
      <c r="C11" s="34" t="b">
        <v>0</v>
      </c>
      <c r="D11" s="34" t="b">
        <v>0</v>
      </c>
      <c r="E11" s="34" t="b">
        <v>0</v>
      </c>
      <c r="F11" s="34" t="b">
        <v>0</v>
      </c>
      <c r="G11" s="34" t="b">
        <v>0</v>
      </c>
      <c r="H11" s="34" t="b">
        <v>0</v>
      </c>
      <c r="I11" s="34" t="b">
        <v>0</v>
      </c>
      <c r="J11" s="34" t="b">
        <v>0</v>
      </c>
      <c r="K11" s="34" t="b">
        <v>0</v>
      </c>
      <c r="L11" s="34" t="b">
        <v>0</v>
      </c>
      <c r="M11" s="34" t="b">
        <v>0</v>
      </c>
      <c r="N11" s="34" t="b">
        <v>0</v>
      </c>
      <c r="O11" s="34" t="b">
        <v>0</v>
      </c>
      <c r="P11" s="34" t="b">
        <v>0</v>
      </c>
      <c r="Q11" s="34" t="b">
        <v>0</v>
      </c>
      <c r="R11" s="34" t="b">
        <v>0</v>
      </c>
      <c r="S11" s="34" t="b">
        <v>0</v>
      </c>
      <c r="T11" s="34" t="b">
        <v>0</v>
      </c>
      <c r="U11" s="34" t="b">
        <v>0</v>
      </c>
      <c r="V11" s="34" t="b">
        <v>0</v>
      </c>
      <c r="W11" s="34" t="b">
        <v>0</v>
      </c>
      <c r="X11" s="34" t="b">
        <v>0</v>
      </c>
      <c r="Y11" s="34" t="b">
        <v>0</v>
      </c>
      <c r="Z11" s="34" t="b">
        <v>0</v>
      </c>
      <c r="AA11" s="34" t="b">
        <v>0</v>
      </c>
      <c r="AB11" s="34" t="b">
        <v>0</v>
      </c>
      <c r="AC11" s="34" t="b">
        <v>0</v>
      </c>
      <c r="AD11" s="34" t="b">
        <v>0</v>
      </c>
      <c r="AE11" s="34" t="b">
        <v>0</v>
      </c>
      <c r="AF11" s="34" t="b">
        <v>0</v>
      </c>
      <c r="AG11" s="34" t="b">
        <v>0</v>
      </c>
    </row>
    <row r="12">
      <c r="A12" s="33" t="n">
        <v>6</v>
      </c>
      <c r="B12" s="18" t="inlineStr">
        <is>
          <t>💪 Подработка — 2 часа</t>
        </is>
      </c>
      <c r="C12" s="34" t="b">
        <v>0</v>
      </c>
      <c r="D12" s="34" t="b">
        <v>0</v>
      </c>
      <c r="E12" s="34" t="b">
        <v>0</v>
      </c>
      <c r="F12" s="34" t="b">
        <v>0</v>
      </c>
      <c r="G12" s="34" t="b">
        <v>0</v>
      </c>
      <c r="H12" s="34" t="b">
        <v>0</v>
      </c>
      <c r="I12" s="34" t="b">
        <v>0</v>
      </c>
      <c r="J12" s="34" t="b">
        <v>0</v>
      </c>
      <c r="K12" s="34" t="b">
        <v>0</v>
      </c>
      <c r="L12" s="34" t="b">
        <v>0</v>
      </c>
      <c r="M12" s="34" t="b">
        <v>0</v>
      </c>
      <c r="N12" s="34" t="b">
        <v>0</v>
      </c>
      <c r="O12" s="34" t="b">
        <v>0</v>
      </c>
      <c r="P12" s="34" t="b">
        <v>0</v>
      </c>
      <c r="Q12" s="34" t="b">
        <v>0</v>
      </c>
      <c r="R12" s="34" t="b">
        <v>0</v>
      </c>
      <c r="S12" s="34" t="b">
        <v>0</v>
      </c>
      <c r="T12" s="34" t="b">
        <v>0</v>
      </c>
      <c r="U12" s="34" t="b">
        <v>0</v>
      </c>
      <c r="V12" s="34" t="b">
        <v>0</v>
      </c>
      <c r="W12" s="34" t="b">
        <v>0</v>
      </c>
      <c r="X12" s="34" t="b">
        <v>0</v>
      </c>
      <c r="Y12" s="34" t="b">
        <v>0</v>
      </c>
      <c r="Z12" s="34" t="b">
        <v>0</v>
      </c>
      <c r="AA12" s="34" t="b">
        <v>0</v>
      </c>
      <c r="AB12" s="34" t="b">
        <v>0</v>
      </c>
      <c r="AC12" s="34" t="b">
        <v>0</v>
      </c>
      <c r="AD12" s="34" t="b">
        <v>0</v>
      </c>
      <c r="AE12" s="34" t="b">
        <v>0</v>
      </c>
      <c r="AF12" s="34" t="b">
        <v>0</v>
      </c>
      <c r="AG12" s="34" t="b">
        <v>0</v>
      </c>
    </row>
    <row r="13">
      <c r="A13" s="33" t="n">
        <v>7</v>
      </c>
      <c r="B13" s="18" t="inlineStr">
        <is>
          <t>🧘 Растяжка 15 мин</t>
        </is>
      </c>
      <c r="C13" s="34" t="b">
        <v>0</v>
      </c>
      <c r="D13" s="34" t="b">
        <v>0</v>
      </c>
      <c r="E13" s="34" t="b">
        <v>0</v>
      </c>
      <c r="F13" s="34" t="b">
        <v>0</v>
      </c>
      <c r="G13" s="34" t="b">
        <v>0</v>
      </c>
      <c r="H13" s="34" t="b">
        <v>0</v>
      </c>
      <c r="I13" s="34" t="b">
        <v>0</v>
      </c>
      <c r="J13" s="34" t="b">
        <v>0</v>
      </c>
      <c r="K13" s="34" t="b">
        <v>0</v>
      </c>
      <c r="L13" s="34" t="b">
        <v>0</v>
      </c>
      <c r="M13" s="34" t="b">
        <v>0</v>
      </c>
      <c r="N13" s="34" t="b">
        <v>0</v>
      </c>
      <c r="O13" s="34" t="b">
        <v>0</v>
      </c>
      <c r="P13" s="34" t="b">
        <v>0</v>
      </c>
      <c r="Q13" s="34" t="b">
        <v>0</v>
      </c>
      <c r="R13" s="34" t="b">
        <v>0</v>
      </c>
      <c r="S13" s="34" t="b">
        <v>0</v>
      </c>
      <c r="T13" s="34" t="b">
        <v>0</v>
      </c>
      <c r="U13" s="34" t="b">
        <v>0</v>
      </c>
      <c r="V13" s="34" t="b">
        <v>0</v>
      </c>
      <c r="W13" s="34" t="b">
        <v>0</v>
      </c>
      <c r="X13" s="34" t="b">
        <v>0</v>
      </c>
      <c r="Y13" s="34" t="b">
        <v>0</v>
      </c>
      <c r="Z13" s="34" t="b">
        <v>0</v>
      </c>
      <c r="AA13" s="34" t="b">
        <v>0</v>
      </c>
      <c r="AB13" s="34" t="b">
        <v>0</v>
      </c>
      <c r="AC13" s="34" t="b">
        <v>0</v>
      </c>
      <c r="AD13" s="34" t="b">
        <v>0</v>
      </c>
      <c r="AE13" s="34" t="b">
        <v>0</v>
      </c>
      <c r="AF13" s="34" t="b">
        <v>0</v>
      </c>
      <c r="AG13" s="34" t="b">
        <v>0</v>
      </c>
    </row>
    <row r="14">
      <c r="A14" s="33" t="n">
        <v>8</v>
      </c>
      <c r="B14" s="18" t="inlineStr">
        <is>
          <t>🙏 Практика благодарности</t>
        </is>
      </c>
      <c r="C14" s="34" t="b">
        <v>0</v>
      </c>
      <c r="D14" s="34" t="b">
        <v>0</v>
      </c>
      <c r="E14" s="34" t="b">
        <v>0</v>
      </c>
      <c r="F14" s="34" t="b">
        <v>0</v>
      </c>
      <c r="G14" s="34" t="b">
        <v>0</v>
      </c>
      <c r="H14" s="34" t="b">
        <v>0</v>
      </c>
      <c r="I14" s="34" t="b">
        <v>0</v>
      </c>
      <c r="J14" s="34" t="b">
        <v>0</v>
      </c>
      <c r="K14" s="34" t="b">
        <v>0</v>
      </c>
      <c r="L14" s="34" t="b">
        <v>0</v>
      </c>
      <c r="M14" s="34" t="b">
        <v>0</v>
      </c>
      <c r="N14" s="34" t="b">
        <v>0</v>
      </c>
      <c r="O14" s="34" t="b">
        <v>0</v>
      </c>
      <c r="P14" s="34" t="b">
        <v>0</v>
      </c>
      <c r="Q14" s="34" t="b">
        <v>0</v>
      </c>
      <c r="R14" s="34" t="b">
        <v>0</v>
      </c>
      <c r="S14" s="34" t="b">
        <v>0</v>
      </c>
      <c r="T14" s="34" t="b">
        <v>0</v>
      </c>
      <c r="U14" s="34" t="b">
        <v>0</v>
      </c>
      <c r="V14" s="34" t="b">
        <v>0</v>
      </c>
      <c r="W14" s="34" t="b">
        <v>0</v>
      </c>
      <c r="X14" s="34" t="b">
        <v>0</v>
      </c>
      <c r="Y14" s="34" t="b">
        <v>0</v>
      </c>
      <c r="Z14" s="34" t="b">
        <v>0</v>
      </c>
      <c r="AA14" s="34" t="b">
        <v>0</v>
      </c>
      <c r="AB14" s="34" t="b">
        <v>0</v>
      </c>
      <c r="AC14" s="34" t="b">
        <v>0</v>
      </c>
      <c r="AD14" s="34" t="b">
        <v>0</v>
      </c>
      <c r="AE14" s="34" t="b">
        <v>0</v>
      </c>
      <c r="AF14" s="34" t="b">
        <v>0</v>
      </c>
      <c r="AG14" s="34" t="b">
        <v>0</v>
      </c>
    </row>
    <row r="15">
      <c r="A15" s="33" t="n">
        <v>9</v>
      </c>
      <c r="B15" s="18" t="n"/>
      <c r="C15" s="34" t="b">
        <v>0</v>
      </c>
      <c r="D15" s="34" t="b">
        <v>0</v>
      </c>
      <c r="E15" s="34" t="b">
        <v>0</v>
      </c>
      <c r="F15" s="34" t="b">
        <v>0</v>
      </c>
      <c r="G15" s="34" t="b">
        <v>0</v>
      </c>
      <c r="H15" s="34" t="b">
        <v>0</v>
      </c>
      <c r="I15" s="34" t="b">
        <v>0</v>
      </c>
      <c r="J15" s="34" t="b">
        <v>0</v>
      </c>
      <c r="K15" s="34" t="b">
        <v>0</v>
      </c>
      <c r="L15" s="34" t="b">
        <v>0</v>
      </c>
      <c r="M15" s="34" t="b">
        <v>0</v>
      </c>
      <c r="N15" s="34" t="b">
        <v>0</v>
      </c>
      <c r="O15" s="34" t="b">
        <v>0</v>
      </c>
      <c r="P15" s="34" t="b">
        <v>0</v>
      </c>
      <c r="Q15" s="34" t="b">
        <v>0</v>
      </c>
      <c r="R15" s="34" t="b">
        <v>0</v>
      </c>
      <c r="S15" s="34" t="b">
        <v>0</v>
      </c>
      <c r="T15" s="34" t="b">
        <v>0</v>
      </c>
      <c r="U15" s="34" t="b">
        <v>0</v>
      </c>
      <c r="V15" s="34" t="b">
        <v>0</v>
      </c>
      <c r="W15" s="34" t="b">
        <v>0</v>
      </c>
      <c r="X15" s="34" t="b">
        <v>0</v>
      </c>
      <c r="Y15" s="34" t="b">
        <v>0</v>
      </c>
      <c r="Z15" s="34" t="b">
        <v>0</v>
      </c>
      <c r="AA15" s="34" t="b">
        <v>0</v>
      </c>
      <c r="AB15" s="34" t="b">
        <v>0</v>
      </c>
      <c r="AC15" s="34" t="b">
        <v>0</v>
      </c>
      <c r="AD15" s="34" t="b">
        <v>0</v>
      </c>
      <c r="AE15" s="34" t="b">
        <v>0</v>
      </c>
      <c r="AF15" s="34" t="b">
        <v>0</v>
      </c>
      <c r="AG15" s="34" t="b">
        <v>0</v>
      </c>
    </row>
    <row r="16">
      <c r="A16" s="33" t="n">
        <v>10</v>
      </c>
      <c r="B16" s="18" t="n"/>
      <c r="C16" s="34" t="b">
        <v>0</v>
      </c>
      <c r="D16" s="34" t="b">
        <v>0</v>
      </c>
      <c r="E16" s="34" t="b">
        <v>0</v>
      </c>
      <c r="F16" s="34" t="b">
        <v>0</v>
      </c>
      <c r="G16" s="34" t="b">
        <v>0</v>
      </c>
      <c r="H16" s="34" t="b">
        <v>0</v>
      </c>
      <c r="I16" s="34" t="b">
        <v>0</v>
      </c>
      <c r="J16" s="34" t="b">
        <v>0</v>
      </c>
      <c r="K16" s="34" t="b">
        <v>0</v>
      </c>
      <c r="L16" s="34" t="b">
        <v>0</v>
      </c>
      <c r="M16" s="34" t="b">
        <v>0</v>
      </c>
      <c r="N16" s="34" t="b">
        <v>0</v>
      </c>
      <c r="O16" s="34" t="b">
        <v>0</v>
      </c>
      <c r="P16" s="34" t="b">
        <v>0</v>
      </c>
      <c r="Q16" s="34" t="b">
        <v>0</v>
      </c>
      <c r="R16" s="34" t="b">
        <v>0</v>
      </c>
      <c r="S16" s="34" t="b">
        <v>0</v>
      </c>
      <c r="T16" s="34" t="b">
        <v>0</v>
      </c>
      <c r="U16" s="34" t="b">
        <v>0</v>
      </c>
      <c r="V16" s="34" t="b">
        <v>0</v>
      </c>
      <c r="W16" s="34" t="b">
        <v>0</v>
      </c>
      <c r="X16" s="34" t="b">
        <v>0</v>
      </c>
      <c r="Y16" s="34" t="b">
        <v>0</v>
      </c>
      <c r="Z16" s="34" t="b">
        <v>0</v>
      </c>
      <c r="AA16" s="34" t="b">
        <v>0</v>
      </c>
      <c r="AB16" s="34" t="b">
        <v>0</v>
      </c>
      <c r="AC16" s="34" t="b">
        <v>0</v>
      </c>
      <c r="AD16" s="34" t="b">
        <v>0</v>
      </c>
      <c r="AE16" s="34" t="b">
        <v>0</v>
      </c>
      <c r="AF16" s="34" t="b">
        <v>0</v>
      </c>
      <c r="AG16" s="34" t="b">
        <v>0</v>
      </c>
    </row>
    <row r="17">
      <c r="A17" s="33" t="n">
        <v>11</v>
      </c>
      <c r="B17" s="18" t="n"/>
      <c r="C17" s="34" t="b">
        <v>0</v>
      </c>
      <c r="D17" s="34" t="b">
        <v>0</v>
      </c>
      <c r="E17" s="34" t="b">
        <v>0</v>
      </c>
      <c r="F17" s="34" t="b">
        <v>0</v>
      </c>
      <c r="G17" s="34" t="b">
        <v>0</v>
      </c>
      <c r="H17" s="34" t="b">
        <v>0</v>
      </c>
      <c r="I17" s="34" t="b">
        <v>0</v>
      </c>
      <c r="J17" s="34" t="b">
        <v>0</v>
      </c>
      <c r="K17" s="34" t="b">
        <v>0</v>
      </c>
      <c r="L17" s="34" t="b">
        <v>0</v>
      </c>
      <c r="M17" s="34" t="b">
        <v>0</v>
      </c>
      <c r="N17" s="34" t="b">
        <v>0</v>
      </c>
      <c r="O17" s="34" t="b">
        <v>0</v>
      </c>
      <c r="P17" s="34" t="b">
        <v>0</v>
      </c>
      <c r="Q17" s="34" t="b">
        <v>0</v>
      </c>
      <c r="R17" s="34" t="b">
        <v>0</v>
      </c>
      <c r="S17" s="34" t="b">
        <v>0</v>
      </c>
      <c r="T17" s="34" t="b">
        <v>0</v>
      </c>
      <c r="U17" s="34" t="b">
        <v>0</v>
      </c>
      <c r="V17" s="34" t="b">
        <v>0</v>
      </c>
      <c r="W17" s="34" t="b">
        <v>0</v>
      </c>
      <c r="X17" s="34" t="b">
        <v>0</v>
      </c>
      <c r="Y17" s="34" t="b">
        <v>0</v>
      </c>
      <c r="Z17" s="34" t="b">
        <v>0</v>
      </c>
      <c r="AA17" s="34" t="b">
        <v>0</v>
      </c>
      <c r="AB17" s="34" t="b">
        <v>0</v>
      </c>
      <c r="AC17" s="34" t="b">
        <v>0</v>
      </c>
      <c r="AD17" s="34" t="b">
        <v>0</v>
      </c>
      <c r="AE17" s="34" t="b">
        <v>0</v>
      </c>
      <c r="AF17" s="34" t="b">
        <v>0</v>
      </c>
      <c r="AG17" s="34" t="b">
        <v>0</v>
      </c>
    </row>
    <row r="18">
      <c r="A18" s="33" t="n">
        <v>12</v>
      </c>
      <c r="B18" s="18" t="n"/>
      <c r="C18" s="34" t="b">
        <v>0</v>
      </c>
      <c r="D18" s="34" t="b">
        <v>0</v>
      </c>
      <c r="E18" s="34" t="b">
        <v>0</v>
      </c>
      <c r="F18" s="34" t="b">
        <v>0</v>
      </c>
      <c r="G18" s="34" t="b">
        <v>0</v>
      </c>
      <c r="H18" s="34" t="b">
        <v>0</v>
      </c>
      <c r="I18" s="34" t="b">
        <v>0</v>
      </c>
      <c r="J18" s="34" t="b">
        <v>0</v>
      </c>
      <c r="K18" s="34" t="b">
        <v>0</v>
      </c>
      <c r="L18" s="34" t="b">
        <v>0</v>
      </c>
      <c r="M18" s="34" t="b">
        <v>0</v>
      </c>
      <c r="N18" s="34" t="b">
        <v>0</v>
      </c>
      <c r="O18" s="34" t="b">
        <v>0</v>
      </c>
      <c r="P18" s="34" t="b">
        <v>0</v>
      </c>
      <c r="Q18" s="34" t="b">
        <v>0</v>
      </c>
      <c r="R18" s="34" t="b">
        <v>0</v>
      </c>
      <c r="S18" s="34" t="b">
        <v>0</v>
      </c>
      <c r="T18" s="34" t="b">
        <v>0</v>
      </c>
      <c r="U18" s="34" t="b">
        <v>0</v>
      </c>
      <c r="V18" s="34" t="b">
        <v>0</v>
      </c>
      <c r="W18" s="34" t="b">
        <v>0</v>
      </c>
      <c r="X18" s="34" t="b">
        <v>0</v>
      </c>
      <c r="Y18" s="34" t="b">
        <v>0</v>
      </c>
      <c r="Z18" s="34" t="b">
        <v>0</v>
      </c>
      <c r="AA18" s="34" t="b">
        <v>0</v>
      </c>
      <c r="AB18" s="34" t="b">
        <v>0</v>
      </c>
      <c r="AC18" s="34" t="b">
        <v>0</v>
      </c>
      <c r="AD18" s="34" t="b">
        <v>0</v>
      </c>
      <c r="AE18" s="34" t="b">
        <v>0</v>
      </c>
      <c r="AF18" s="34" t="b">
        <v>0</v>
      </c>
      <c r="AG18" s="34" t="b">
        <v>0</v>
      </c>
    </row>
    <row r="19">
      <c r="A19" s="33" t="n">
        <v>13</v>
      </c>
      <c r="B19" s="18" t="n"/>
      <c r="C19" s="34" t="b">
        <v>0</v>
      </c>
      <c r="D19" s="34" t="b">
        <v>0</v>
      </c>
      <c r="E19" s="34" t="b">
        <v>0</v>
      </c>
      <c r="F19" s="34" t="b">
        <v>0</v>
      </c>
      <c r="G19" s="34" t="b">
        <v>0</v>
      </c>
      <c r="H19" s="34" t="b">
        <v>0</v>
      </c>
      <c r="I19" s="34" t="b">
        <v>0</v>
      </c>
      <c r="J19" s="34" t="b">
        <v>0</v>
      </c>
      <c r="K19" s="34" t="b">
        <v>0</v>
      </c>
      <c r="L19" s="34" t="b">
        <v>0</v>
      </c>
      <c r="M19" s="34" t="b">
        <v>0</v>
      </c>
      <c r="N19" s="34" t="b">
        <v>0</v>
      </c>
      <c r="O19" s="34" t="b">
        <v>0</v>
      </c>
      <c r="P19" s="34" t="b">
        <v>0</v>
      </c>
      <c r="Q19" s="34" t="b">
        <v>0</v>
      </c>
      <c r="R19" s="34" t="b">
        <v>0</v>
      </c>
      <c r="S19" s="34" t="b">
        <v>0</v>
      </c>
      <c r="T19" s="34" t="b">
        <v>0</v>
      </c>
      <c r="U19" s="34" t="b">
        <v>0</v>
      </c>
      <c r="V19" s="34" t="b">
        <v>0</v>
      </c>
      <c r="W19" s="34" t="b">
        <v>0</v>
      </c>
      <c r="X19" s="34" t="b">
        <v>0</v>
      </c>
      <c r="Y19" s="34" t="b">
        <v>0</v>
      </c>
      <c r="Z19" s="34" t="b">
        <v>0</v>
      </c>
      <c r="AA19" s="34" t="b">
        <v>0</v>
      </c>
      <c r="AB19" s="34" t="b">
        <v>0</v>
      </c>
      <c r="AC19" s="34" t="b">
        <v>0</v>
      </c>
      <c r="AD19" s="34" t="b">
        <v>0</v>
      </c>
      <c r="AE19" s="34" t="b">
        <v>0</v>
      </c>
      <c r="AF19" s="34" t="b">
        <v>0</v>
      </c>
      <c r="AG19" s="34" t="b">
        <v>0</v>
      </c>
    </row>
    <row r="20">
      <c r="A20" s="33" t="n">
        <v>14</v>
      </c>
      <c r="B20" s="18" t="n"/>
      <c r="C20" s="34" t="b">
        <v>0</v>
      </c>
      <c r="D20" s="34" t="b">
        <v>0</v>
      </c>
      <c r="E20" s="34" t="b">
        <v>0</v>
      </c>
      <c r="F20" s="34" t="b">
        <v>0</v>
      </c>
      <c r="G20" s="34" t="b">
        <v>0</v>
      </c>
      <c r="H20" s="34" t="b">
        <v>0</v>
      </c>
      <c r="I20" s="34" t="b">
        <v>0</v>
      </c>
      <c r="J20" s="34" t="b">
        <v>0</v>
      </c>
      <c r="K20" s="34" t="b">
        <v>0</v>
      </c>
      <c r="L20" s="34" t="b">
        <v>0</v>
      </c>
      <c r="M20" s="34" t="b">
        <v>0</v>
      </c>
      <c r="N20" s="34" t="b">
        <v>0</v>
      </c>
      <c r="O20" s="34" t="b">
        <v>0</v>
      </c>
      <c r="P20" s="34" t="b">
        <v>0</v>
      </c>
      <c r="Q20" s="34" t="b">
        <v>0</v>
      </c>
      <c r="R20" s="34" t="b">
        <v>0</v>
      </c>
      <c r="S20" s="34" t="b">
        <v>0</v>
      </c>
      <c r="T20" s="34" t="b">
        <v>0</v>
      </c>
      <c r="U20" s="34" t="b">
        <v>0</v>
      </c>
      <c r="V20" s="34" t="b">
        <v>0</v>
      </c>
      <c r="W20" s="34" t="b">
        <v>0</v>
      </c>
      <c r="X20" s="34" t="b">
        <v>0</v>
      </c>
      <c r="Y20" s="34" t="b">
        <v>0</v>
      </c>
      <c r="Z20" s="34" t="b">
        <v>0</v>
      </c>
      <c r="AA20" s="34" t="b">
        <v>0</v>
      </c>
      <c r="AB20" s="34" t="b">
        <v>0</v>
      </c>
      <c r="AC20" s="34" t="b">
        <v>0</v>
      </c>
      <c r="AD20" s="34" t="b">
        <v>0</v>
      </c>
      <c r="AE20" s="34" t="b">
        <v>0</v>
      </c>
      <c r="AF20" s="34" t="b">
        <v>0</v>
      </c>
      <c r="AG20" s="34" t="b">
        <v>0</v>
      </c>
    </row>
    <row r="21">
      <c r="A21" s="33" t="n">
        <v>15</v>
      </c>
      <c r="B21" s="18" t="n"/>
      <c r="C21" s="34" t="b">
        <v>0</v>
      </c>
      <c r="D21" s="34" t="b">
        <v>0</v>
      </c>
      <c r="E21" s="34" t="b">
        <v>0</v>
      </c>
      <c r="F21" s="34" t="b">
        <v>0</v>
      </c>
      <c r="G21" s="34" t="b">
        <v>0</v>
      </c>
      <c r="H21" s="34" t="b">
        <v>0</v>
      </c>
      <c r="I21" s="34" t="b">
        <v>0</v>
      </c>
      <c r="J21" s="34" t="b">
        <v>0</v>
      </c>
      <c r="K21" s="34" t="b">
        <v>0</v>
      </c>
      <c r="L21" s="34" t="b">
        <v>0</v>
      </c>
      <c r="M21" s="34" t="b">
        <v>0</v>
      </c>
      <c r="N21" s="34" t="b">
        <v>0</v>
      </c>
      <c r="O21" s="34" t="b">
        <v>0</v>
      </c>
      <c r="P21" s="34" t="b">
        <v>0</v>
      </c>
      <c r="Q21" s="34" t="b">
        <v>0</v>
      </c>
      <c r="R21" s="34" t="b">
        <v>0</v>
      </c>
      <c r="S21" s="34" t="b">
        <v>0</v>
      </c>
      <c r="T21" s="34" t="b">
        <v>0</v>
      </c>
      <c r="U21" s="34" t="b">
        <v>0</v>
      </c>
      <c r="V21" s="34" t="b">
        <v>0</v>
      </c>
      <c r="W21" s="34" t="b">
        <v>0</v>
      </c>
      <c r="X21" s="34" t="b">
        <v>0</v>
      </c>
      <c r="Y21" s="34" t="b">
        <v>0</v>
      </c>
      <c r="Z21" s="34" t="b">
        <v>0</v>
      </c>
      <c r="AA21" s="34" t="b">
        <v>0</v>
      </c>
      <c r="AB21" s="34" t="b">
        <v>0</v>
      </c>
      <c r="AC21" s="34" t="b">
        <v>0</v>
      </c>
      <c r="AD21" s="34" t="b">
        <v>0</v>
      </c>
      <c r="AE21" s="34" t="b">
        <v>0</v>
      </c>
      <c r="AF21" s="34" t="b">
        <v>0</v>
      </c>
      <c r="AG21" s="34" t="b">
        <v>0</v>
      </c>
    </row>
    <row r="22">
      <c r="A22" s="33" t="n">
        <v>16</v>
      </c>
      <c r="B22" s="18" t="n"/>
      <c r="C22" s="34" t="b">
        <v>0</v>
      </c>
      <c r="D22" s="34" t="b">
        <v>0</v>
      </c>
      <c r="E22" s="34" t="b">
        <v>0</v>
      </c>
      <c r="F22" s="34" t="b">
        <v>0</v>
      </c>
      <c r="G22" s="34" t="b">
        <v>0</v>
      </c>
      <c r="H22" s="34" t="b">
        <v>0</v>
      </c>
      <c r="I22" s="34" t="b">
        <v>0</v>
      </c>
      <c r="J22" s="34" t="b">
        <v>0</v>
      </c>
      <c r="K22" s="34" t="b">
        <v>0</v>
      </c>
      <c r="L22" s="34" t="b">
        <v>0</v>
      </c>
      <c r="M22" s="34" t="b">
        <v>0</v>
      </c>
      <c r="N22" s="34" t="b">
        <v>0</v>
      </c>
      <c r="O22" s="34" t="b">
        <v>0</v>
      </c>
      <c r="P22" s="34" t="b">
        <v>0</v>
      </c>
      <c r="Q22" s="34" t="b">
        <v>0</v>
      </c>
      <c r="R22" s="34" t="b">
        <v>0</v>
      </c>
      <c r="S22" s="34" t="b">
        <v>0</v>
      </c>
      <c r="T22" s="34" t="b">
        <v>0</v>
      </c>
      <c r="U22" s="34" t="b">
        <v>0</v>
      </c>
      <c r="V22" s="34" t="b">
        <v>0</v>
      </c>
      <c r="W22" s="34" t="b">
        <v>0</v>
      </c>
      <c r="X22" s="34" t="b">
        <v>0</v>
      </c>
      <c r="Y22" s="34" t="b">
        <v>0</v>
      </c>
      <c r="Z22" s="34" t="b">
        <v>0</v>
      </c>
      <c r="AA22" s="34" t="b">
        <v>0</v>
      </c>
      <c r="AB22" s="34" t="b">
        <v>0</v>
      </c>
      <c r="AC22" s="34" t="b">
        <v>0</v>
      </c>
      <c r="AD22" s="34" t="b">
        <v>0</v>
      </c>
      <c r="AE22" s="34" t="b">
        <v>0</v>
      </c>
      <c r="AF22" s="34" t="b">
        <v>0</v>
      </c>
      <c r="AG22" s="34" t="b">
        <v>0</v>
      </c>
    </row>
    <row r="23">
      <c r="A23" s="33" t="n">
        <v>17</v>
      </c>
      <c r="B23" s="18" t="n"/>
      <c r="C23" s="34" t="b">
        <v>0</v>
      </c>
      <c r="D23" s="34" t="b">
        <v>0</v>
      </c>
      <c r="E23" s="34" t="b">
        <v>0</v>
      </c>
      <c r="F23" s="34" t="b">
        <v>0</v>
      </c>
      <c r="G23" s="34" t="b">
        <v>0</v>
      </c>
      <c r="H23" s="34" t="b">
        <v>0</v>
      </c>
      <c r="I23" s="34" t="b">
        <v>0</v>
      </c>
      <c r="J23" s="34" t="b">
        <v>0</v>
      </c>
      <c r="K23" s="34" t="b">
        <v>0</v>
      </c>
      <c r="L23" s="34" t="b">
        <v>0</v>
      </c>
      <c r="M23" s="34" t="b">
        <v>0</v>
      </c>
      <c r="N23" s="34" t="b">
        <v>0</v>
      </c>
      <c r="O23" s="34" t="b">
        <v>0</v>
      </c>
      <c r="P23" s="34" t="b">
        <v>0</v>
      </c>
      <c r="Q23" s="34" t="b">
        <v>0</v>
      </c>
      <c r="R23" s="34" t="b">
        <v>0</v>
      </c>
      <c r="S23" s="34" t="b">
        <v>0</v>
      </c>
      <c r="T23" s="34" t="b">
        <v>0</v>
      </c>
      <c r="U23" s="34" t="b">
        <v>0</v>
      </c>
      <c r="V23" s="34" t="b">
        <v>0</v>
      </c>
      <c r="W23" s="34" t="b">
        <v>0</v>
      </c>
      <c r="X23" s="34" t="b">
        <v>0</v>
      </c>
      <c r="Y23" s="34" t="b">
        <v>0</v>
      </c>
      <c r="Z23" s="34" t="b">
        <v>0</v>
      </c>
      <c r="AA23" s="34" t="b">
        <v>0</v>
      </c>
      <c r="AB23" s="34" t="b">
        <v>0</v>
      </c>
      <c r="AC23" s="34" t="b">
        <v>0</v>
      </c>
      <c r="AD23" s="34" t="b">
        <v>0</v>
      </c>
      <c r="AE23" s="34" t="b">
        <v>0</v>
      </c>
      <c r="AF23" s="34" t="b">
        <v>0</v>
      </c>
      <c r="AG23" s="34" t="b">
        <v>0</v>
      </c>
    </row>
    <row r="24">
      <c r="A24" s="33" t="n">
        <v>18</v>
      </c>
      <c r="B24" s="18" t="n"/>
      <c r="C24" s="34" t="b">
        <v>0</v>
      </c>
      <c r="D24" s="34" t="b">
        <v>0</v>
      </c>
      <c r="E24" s="34" t="b">
        <v>0</v>
      </c>
      <c r="F24" s="34" t="b">
        <v>0</v>
      </c>
      <c r="G24" s="34" t="b">
        <v>0</v>
      </c>
      <c r="H24" s="34" t="b">
        <v>0</v>
      </c>
      <c r="I24" s="34" t="b">
        <v>0</v>
      </c>
      <c r="J24" s="34" t="b">
        <v>0</v>
      </c>
      <c r="K24" s="34" t="b">
        <v>0</v>
      </c>
      <c r="L24" s="34" t="b">
        <v>0</v>
      </c>
      <c r="M24" s="34" t="b">
        <v>0</v>
      </c>
      <c r="N24" s="34" t="b">
        <v>0</v>
      </c>
      <c r="O24" s="34" t="b">
        <v>0</v>
      </c>
      <c r="P24" s="34" t="b">
        <v>0</v>
      </c>
      <c r="Q24" s="34" t="b">
        <v>0</v>
      </c>
      <c r="R24" s="34" t="b">
        <v>0</v>
      </c>
      <c r="S24" s="34" t="b">
        <v>0</v>
      </c>
      <c r="T24" s="34" t="b">
        <v>0</v>
      </c>
      <c r="U24" s="34" t="b">
        <v>0</v>
      </c>
      <c r="V24" s="34" t="b">
        <v>0</v>
      </c>
      <c r="W24" s="34" t="b">
        <v>0</v>
      </c>
      <c r="X24" s="34" t="b">
        <v>0</v>
      </c>
      <c r="Y24" s="34" t="b">
        <v>0</v>
      </c>
      <c r="Z24" s="34" t="b">
        <v>0</v>
      </c>
      <c r="AA24" s="34" t="b">
        <v>0</v>
      </c>
      <c r="AB24" s="34" t="b">
        <v>0</v>
      </c>
      <c r="AC24" s="34" t="b">
        <v>0</v>
      </c>
      <c r="AD24" s="34" t="b">
        <v>0</v>
      </c>
      <c r="AE24" s="34" t="b">
        <v>0</v>
      </c>
      <c r="AF24" s="34" t="b">
        <v>0</v>
      </c>
      <c r="AG24" s="34" t="b">
        <v>0</v>
      </c>
    </row>
    <row r="25">
      <c r="A25" s="33" t="n">
        <v>19</v>
      </c>
      <c r="B25" s="18" t="n"/>
      <c r="C25" s="34" t="b">
        <v>0</v>
      </c>
      <c r="D25" s="34" t="b">
        <v>0</v>
      </c>
      <c r="E25" s="34" t="b">
        <v>0</v>
      </c>
      <c r="F25" s="34" t="b">
        <v>0</v>
      </c>
      <c r="G25" s="34" t="b">
        <v>0</v>
      </c>
      <c r="H25" s="34" t="b">
        <v>0</v>
      </c>
      <c r="I25" s="34" t="b">
        <v>0</v>
      </c>
      <c r="J25" s="34" t="b">
        <v>0</v>
      </c>
      <c r="K25" s="34" t="b">
        <v>0</v>
      </c>
      <c r="L25" s="34" t="b">
        <v>0</v>
      </c>
      <c r="M25" s="34" t="b">
        <v>0</v>
      </c>
      <c r="N25" s="34" t="b">
        <v>0</v>
      </c>
      <c r="O25" s="34" t="b">
        <v>0</v>
      </c>
      <c r="P25" s="34" t="b">
        <v>0</v>
      </c>
      <c r="Q25" s="34" t="b">
        <v>0</v>
      </c>
      <c r="R25" s="34" t="b">
        <v>0</v>
      </c>
      <c r="S25" s="34" t="b">
        <v>0</v>
      </c>
      <c r="T25" s="34" t="b">
        <v>0</v>
      </c>
      <c r="U25" s="34" t="b">
        <v>0</v>
      </c>
      <c r="V25" s="34" t="b">
        <v>0</v>
      </c>
      <c r="W25" s="34" t="b">
        <v>0</v>
      </c>
      <c r="X25" s="34" t="b">
        <v>0</v>
      </c>
      <c r="Y25" s="34" t="b">
        <v>0</v>
      </c>
      <c r="Z25" s="34" t="b">
        <v>0</v>
      </c>
      <c r="AA25" s="34" t="b">
        <v>0</v>
      </c>
      <c r="AB25" s="34" t="b">
        <v>0</v>
      </c>
      <c r="AC25" s="34" t="b">
        <v>0</v>
      </c>
      <c r="AD25" s="34" t="b">
        <v>0</v>
      </c>
      <c r="AE25" s="34" t="b">
        <v>0</v>
      </c>
      <c r="AF25" s="34" t="b">
        <v>0</v>
      </c>
      <c r="AG25" s="34" t="b">
        <v>0</v>
      </c>
    </row>
    <row r="26">
      <c r="A26" s="33" t="n">
        <v>20</v>
      </c>
      <c r="B26" s="18" t="n"/>
      <c r="C26" s="34" t="b">
        <v>0</v>
      </c>
      <c r="D26" s="34" t="b">
        <v>0</v>
      </c>
      <c r="E26" s="34" t="b">
        <v>0</v>
      </c>
      <c r="F26" s="34" t="b">
        <v>0</v>
      </c>
      <c r="G26" s="34" t="b">
        <v>0</v>
      </c>
      <c r="H26" s="34" t="b">
        <v>0</v>
      </c>
      <c r="I26" s="34" t="b">
        <v>0</v>
      </c>
      <c r="J26" s="34" t="b">
        <v>0</v>
      </c>
      <c r="K26" s="34" t="b">
        <v>0</v>
      </c>
      <c r="L26" s="34" t="b">
        <v>0</v>
      </c>
      <c r="M26" s="34" t="b">
        <v>0</v>
      </c>
      <c r="N26" s="34" t="b">
        <v>0</v>
      </c>
      <c r="O26" s="34" t="b">
        <v>0</v>
      </c>
      <c r="P26" s="34" t="b">
        <v>0</v>
      </c>
      <c r="Q26" s="34" t="b">
        <v>0</v>
      </c>
      <c r="R26" s="34" t="b">
        <v>0</v>
      </c>
      <c r="S26" s="34" t="b">
        <v>0</v>
      </c>
      <c r="T26" s="34" t="b">
        <v>0</v>
      </c>
      <c r="U26" s="34" t="b">
        <v>0</v>
      </c>
      <c r="V26" s="34" t="b">
        <v>0</v>
      </c>
      <c r="W26" s="34" t="b">
        <v>0</v>
      </c>
      <c r="X26" s="34" t="b">
        <v>0</v>
      </c>
      <c r="Y26" s="34" t="b">
        <v>0</v>
      </c>
      <c r="Z26" s="34" t="b">
        <v>0</v>
      </c>
      <c r="AA26" s="34" t="b">
        <v>0</v>
      </c>
      <c r="AB26" s="34" t="b">
        <v>0</v>
      </c>
      <c r="AC26" s="34" t="b">
        <v>0</v>
      </c>
      <c r="AD26" s="34" t="b">
        <v>0</v>
      </c>
      <c r="AE26" s="34" t="b">
        <v>0</v>
      </c>
      <c r="AF26" s="34" t="b">
        <v>0</v>
      </c>
      <c r="AG26" s="34" t="b">
        <v>0</v>
      </c>
    </row>
    <row r="27">
      <c r="A27" s="33" t="n">
        <v>21</v>
      </c>
      <c r="B27" s="18" t="n"/>
      <c r="C27" s="34" t="b">
        <v>0</v>
      </c>
      <c r="D27" s="34" t="b">
        <v>0</v>
      </c>
      <c r="E27" s="34" t="b">
        <v>0</v>
      </c>
      <c r="F27" s="34" t="b">
        <v>0</v>
      </c>
      <c r="G27" s="34" t="b">
        <v>0</v>
      </c>
      <c r="H27" s="34" t="b">
        <v>0</v>
      </c>
      <c r="I27" s="34" t="b">
        <v>0</v>
      </c>
      <c r="J27" s="34" t="b">
        <v>0</v>
      </c>
      <c r="K27" s="34" t="b">
        <v>0</v>
      </c>
      <c r="L27" s="34" t="b">
        <v>0</v>
      </c>
      <c r="M27" s="34" t="b">
        <v>0</v>
      </c>
      <c r="N27" s="34" t="b">
        <v>0</v>
      </c>
      <c r="O27" s="34" t="b">
        <v>0</v>
      </c>
      <c r="P27" s="34" t="b">
        <v>0</v>
      </c>
      <c r="Q27" s="34" t="b">
        <v>0</v>
      </c>
      <c r="R27" s="34" t="b">
        <v>0</v>
      </c>
      <c r="S27" s="34" t="b">
        <v>0</v>
      </c>
      <c r="T27" s="34" t="b">
        <v>0</v>
      </c>
      <c r="U27" s="34" t="b">
        <v>0</v>
      </c>
      <c r="V27" s="34" t="b">
        <v>0</v>
      </c>
      <c r="W27" s="34" t="b">
        <v>0</v>
      </c>
      <c r="X27" s="34" t="b">
        <v>0</v>
      </c>
      <c r="Y27" s="34" t="b">
        <v>0</v>
      </c>
      <c r="Z27" s="34" t="b">
        <v>0</v>
      </c>
      <c r="AA27" s="34" t="b">
        <v>0</v>
      </c>
      <c r="AB27" s="34" t="b">
        <v>0</v>
      </c>
      <c r="AC27" s="34" t="b">
        <v>0</v>
      </c>
      <c r="AD27" s="34" t="b">
        <v>0</v>
      </c>
      <c r="AE27" s="34" t="b">
        <v>0</v>
      </c>
      <c r="AF27" s="34" t="b">
        <v>0</v>
      </c>
      <c r="AG27" s="34" t="b">
        <v>0</v>
      </c>
    </row>
    <row r="28">
      <c r="A28" s="33" t="n">
        <v>22</v>
      </c>
      <c r="B28" s="18" t="n"/>
      <c r="C28" s="34" t="b">
        <v>0</v>
      </c>
      <c r="D28" s="34" t="b">
        <v>0</v>
      </c>
      <c r="E28" s="34" t="b">
        <v>0</v>
      </c>
      <c r="F28" s="34" t="b">
        <v>0</v>
      </c>
      <c r="G28" s="34" t="b">
        <v>0</v>
      </c>
      <c r="H28" s="34" t="b">
        <v>0</v>
      </c>
      <c r="I28" s="34" t="b">
        <v>0</v>
      </c>
      <c r="J28" s="34" t="b">
        <v>0</v>
      </c>
      <c r="K28" s="34" t="b">
        <v>0</v>
      </c>
      <c r="L28" s="34" t="b">
        <v>0</v>
      </c>
      <c r="M28" s="34" t="b">
        <v>0</v>
      </c>
      <c r="N28" s="34" t="b">
        <v>0</v>
      </c>
      <c r="O28" s="34" t="b">
        <v>0</v>
      </c>
      <c r="P28" s="34" t="b">
        <v>0</v>
      </c>
      <c r="Q28" s="34" t="b">
        <v>0</v>
      </c>
      <c r="R28" s="34" t="b">
        <v>0</v>
      </c>
      <c r="S28" s="34" t="b">
        <v>0</v>
      </c>
      <c r="T28" s="34" t="b">
        <v>0</v>
      </c>
      <c r="U28" s="34" t="b">
        <v>0</v>
      </c>
      <c r="V28" s="34" t="b">
        <v>0</v>
      </c>
      <c r="W28" s="34" t="b">
        <v>0</v>
      </c>
      <c r="X28" s="34" t="b">
        <v>0</v>
      </c>
      <c r="Y28" s="34" t="b">
        <v>0</v>
      </c>
      <c r="Z28" s="34" t="b">
        <v>0</v>
      </c>
      <c r="AA28" s="34" t="b">
        <v>0</v>
      </c>
      <c r="AB28" s="34" t="b">
        <v>0</v>
      </c>
      <c r="AC28" s="34" t="b">
        <v>0</v>
      </c>
      <c r="AD28" s="34" t="b">
        <v>0</v>
      </c>
      <c r="AE28" s="34" t="b">
        <v>0</v>
      </c>
      <c r="AF28" s="34" t="b">
        <v>0</v>
      </c>
      <c r="AG28" s="34" t="b">
        <v>0</v>
      </c>
    </row>
    <row r="29">
      <c r="A29" s="33" t="n">
        <v>23</v>
      </c>
      <c r="B29" s="18" t="n"/>
      <c r="C29" s="34" t="b">
        <v>0</v>
      </c>
      <c r="D29" s="34" t="b">
        <v>0</v>
      </c>
      <c r="E29" s="34" t="b">
        <v>0</v>
      </c>
      <c r="F29" s="34" t="b">
        <v>0</v>
      </c>
      <c r="G29" s="34" t="b">
        <v>0</v>
      </c>
      <c r="H29" s="34" t="b">
        <v>0</v>
      </c>
      <c r="I29" s="34" t="b">
        <v>0</v>
      </c>
      <c r="J29" s="34" t="b">
        <v>0</v>
      </c>
      <c r="K29" s="34" t="b">
        <v>0</v>
      </c>
      <c r="L29" s="34" t="b">
        <v>0</v>
      </c>
      <c r="M29" s="34" t="b">
        <v>0</v>
      </c>
      <c r="N29" s="34" t="b">
        <v>0</v>
      </c>
      <c r="O29" s="34" t="b">
        <v>0</v>
      </c>
      <c r="P29" s="34" t="b">
        <v>0</v>
      </c>
      <c r="Q29" s="34" t="b">
        <v>0</v>
      </c>
      <c r="R29" s="34" t="b">
        <v>0</v>
      </c>
      <c r="S29" s="34" t="b">
        <v>0</v>
      </c>
      <c r="T29" s="34" t="b">
        <v>0</v>
      </c>
      <c r="U29" s="34" t="b">
        <v>0</v>
      </c>
      <c r="V29" s="34" t="b">
        <v>0</v>
      </c>
      <c r="W29" s="34" t="b">
        <v>0</v>
      </c>
      <c r="X29" s="34" t="b">
        <v>0</v>
      </c>
      <c r="Y29" s="34" t="b">
        <v>0</v>
      </c>
      <c r="Z29" s="34" t="b">
        <v>0</v>
      </c>
      <c r="AA29" s="34" t="b">
        <v>0</v>
      </c>
      <c r="AB29" s="34" t="b">
        <v>0</v>
      </c>
      <c r="AC29" s="34" t="b">
        <v>0</v>
      </c>
      <c r="AD29" s="34" t="b">
        <v>0</v>
      </c>
      <c r="AE29" s="34" t="b">
        <v>0</v>
      </c>
      <c r="AF29" s="34" t="b">
        <v>0</v>
      </c>
      <c r="AG29" s="34" t="b">
        <v>0</v>
      </c>
    </row>
    <row r="30">
      <c r="A30" s="33" t="n">
        <v>24</v>
      </c>
      <c r="B30" s="18" t="n"/>
      <c r="C30" s="34" t="b">
        <v>0</v>
      </c>
      <c r="D30" s="34" t="b">
        <v>0</v>
      </c>
      <c r="E30" s="34" t="b">
        <v>0</v>
      </c>
      <c r="F30" s="34" t="b">
        <v>0</v>
      </c>
      <c r="G30" s="34" t="b">
        <v>0</v>
      </c>
      <c r="H30" s="34" t="b">
        <v>0</v>
      </c>
      <c r="I30" s="34" t="b">
        <v>0</v>
      </c>
      <c r="J30" s="34" t="b">
        <v>0</v>
      </c>
      <c r="K30" s="34" t="b">
        <v>0</v>
      </c>
      <c r="L30" s="34" t="b">
        <v>0</v>
      </c>
      <c r="M30" s="34" t="b">
        <v>0</v>
      </c>
      <c r="N30" s="34" t="b">
        <v>0</v>
      </c>
      <c r="O30" s="34" t="b">
        <v>0</v>
      </c>
      <c r="P30" s="34" t="b">
        <v>0</v>
      </c>
      <c r="Q30" s="34" t="b">
        <v>0</v>
      </c>
      <c r="R30" s="34" t="b">
        <v>0</v>
      </c>
      <c r="S30" s="34" t="b">
        <v>0</v>
      </c>
      <c r="T30" s="34" t="b">
        <v>0</v>
      </c>
      <c r="U30" s="34" t="b">
        <v>0</v>
      </c>
      <c r="V30" s="34" t="b">
        <v>0</v>
      </c>
      <c r="W30" s="34" t="b">
        <v>0</v>
      </c>
      <c r="X30" s="34" t="b">
        <v>0</v>
      </c>
      <c r="Y30" s="34" t="b">
        <v>0</v>
      </c>
      <c r="Z30" s="34" t="b">
        <v>0</v>
      </c>
      <c r="AA30" s="34" t="b">
        <v>0</v>
      </c>
      <c r="AB30" s="34" t="b">
        <v>0</v>
      </c>
      <c r="AC30" s="34" t="b">
        <v>0</v>
      </c>
      <c r="AD30" s="34" t="b">
        <v>0</v>
      </c>
      <c r="AE30" s="34" t="b">
        <v>0</v>
      </c>
      <c r="AF30" s="34" t="b">
        <v>0</v>
      </c>
      <c r="AG30" s="34" t="b">
        <v>0</v>
      </c>
    </row>
    <row r="31">
      <c r="B31" s="35" t="inlineStr">
        <is>
          <t>ВЫПОЛНЕНЫ</t>
        </is>
      </c>
      <c r="C31" s="36">
        <f>COUNTIFS($B$7:$B$30,"&lt;&gt;",C7:C30,TRUE)</f>
        <v/>
      </c>
      <c r="D31" s="36">
        <f>COUNTIFS($B$7:$B$30,"&lt;&gt;",D7:D30,TRUE)</f>
        <v/>
      </c>
      <c r="E31" s="36">
        <f>COUNTIFS($B$7:$B$30,"&lt;&gt;",E7:E30,TRUE)</f>
        <v/>
      </c>
      <c r="F31" s="36">
        <f>COUNTIFS($B$7:$B$30,"&lt;&gt;",F7:F30,TRUE)</f>
        <v/>
      </c>
      <c r="G31" s="36">
        <f>COUNTIFS($B$7:$B$30,"&lt;&gt;",G7:G30,TRUE)</f>
        <v/>
      </c>
      <c r="H31" s="36">
        <f>COUNTIFS($B$7:$B$30,"&lt;&gt;",H7:H30,TRUE)</f>
        <v/>
      </c>
      <c r="I31" s="36">
        <f>COUNTIFS($B$7:$B$30,"&lt;&gt;",I7:I30,TRUE)</f>
        <v/>
      </c>
      <c r="J31" s="36">
        <f>COUNTIFS($B$7:$B$30,"&lt;&gt;",J7:J30,TRUE)</f>
        <v/>
      </c>
      <c r="K31" s="36">
        <f>COUNTIFS($B$7:$B$30,"&lt;&gt;",K7:K30,TRUE)</f>
        <v/>
      </c>
      <c r="L31" s="36">
        <f>COUNTIFS($B$7:$B$30,"&lt;&gt;",L7:L30,TRUE)</f>
        <v/>
      </c>
      <c r="M31" s="36">
        <f>COUNTIFS($B$7:$B$30,"&lt;&gt;",M7:M30,TRUE)</f>
        <v/>
      </c>
      <c r="N31" s="36">
        <f>COUNTIFS($B$7:$B$30,"&lt;&gt;",N7:N30,TRUE)</f>
        <v/>
      </c>
      <c r="O31" s="36">
        <f>COUNTIFS($B$7:$B$30,"&lt;&gt;",O7:O30,TRUE)</f>
        <v/>
      </c>
      <c r="P31" s="36">
        <f>COUNTIFS($B$7:$B$30,"&lt;&gt;",P7:P30,TRUE)</f>
        <v/>
      </c>
      <c r="Q31" s="36">
        <f>COUNTIFS($B$7:$B$30,"&lt;&gt;",Q7:Q30,TRUE)</f>
        <v/>
      </c>
      <c r="R31" s="36">
        <f>COUNTIFS($B$7:$B$30,"&lt;&gt;",R7:R30,TRUE)</f>
        <v/>
      </c>
      <c r="S31" s="36">
        <f>COUNTIFS($B$7:$B$30,"&lt;&gt;",S7:S30,TRUE)</f>
        <v/>
      </c>
      <c r="T31" s="36">
        <f>COUNTIFS($B$7:$B$30,"&lt;&gt;",T7:T30,TRUE)</f>
        <v/>
      </c>
      <c r="U31" s="36">
        <f>COUNTIFS($B$7:$B$30,"&lt;&gt;",U7:U30,TRUE)</f>
        <v/>
      </c>
      <c r="V31" s="36">
        <f>COUNTIFS($B$7:$B$30,"&lt;&gt;",V7:V30,TRUE)</f>
        <v/>
      </c>
      <c r="W31" s="36">
        <f>COUNTIFS($B$7:$B$30,"&lt;&gt;",W7:W30,TRUE)</f>
        <v/>
      </c>
      <c r="X31" s="36">
        <f>COUNTIFS($B$7:$B$30,"&lt;&gt;",X7:X30,TRUE)</f>
        <v/>
      </c>
      <c r="Y31" s="36">
        <f>COUNTIFS($B$7:$B$30,"&lt;&gt;",Y7:Y30,TRUE)</f>
        <v/>
      </c>
      <c r="Z31" s="36">
        <f>COUNTIFS($B$7:$B$30,"&lt;&gt;",Z7:Z30,TRUE)</f>
        <v/>
      </c>
      <c r="AA31" s="36">
        <f>COUNTIFS($B$7:$B$30,"&lt;&gt;",AA7:AA30,TRUE)</f>
        <v/>
      </c>
      <c r="AB31" s="36">
        <f>COUNTIFS($B$7:$B$30,"&lt;&gt;",AB7:AB30,TRUE)</f>
        <v/>
      </c>
      <c r="AC31" s="36">
        <f>COUNTIFS($B$7:$B$30,"&lt;&gt;",AC7:AC30,TRUE)</f>
        <v/>
      </c>
      <c r="AD31" s="36">
        <f>COUNTIFS($B$7:$B$30,"&lt;&gt;",AD7:AD30,TRUE)</f>
        <v/>
      </c>
      <c r="AE31" s="36">
        <f>COUNTIFS($B$7:$B$30,"&lt;&gt;",AE7:AE30,TRUE)</f>
        <v/>
      </c>
      <c r="AF31" s="36">
        <f>COUNTIFS($B$7:$B$30,"&lt;&gt;",AF7:AF30,TRUE)</f>
        <v/>
      </c>
      <c r="AG31" s="36">
        <f>COUNTIFS($B$7:$B$30,"&lt;&gt;",AG7:AG30,TRUE)</f>
        <v/>
      </c>
    </row>
    <row r="32">
      <c r="B32" s="35" t="inlineStr">
        <is>
          <t>НЕВЫПОЛНЕНЫ</t>
        </is>
      </c>
      <c r="C32" s="36">
        <f>COUNTIFS($B$7:$B$30,"&lt;&gt;",C7:C30,FALSE)</f>
        <v/>
      </c>
      <c r="D32" s="36">
        <f>COUNTIFS($B$7:$B$30,"&lt;&gt;",D7:D30,FALSE)</f>
        <v/>
      </c>
      <c r="E32" s="36">
        <f>COUNTIFS($B$7:$B$30,"&lt;&gt;",E7:E30,FALSE)</f>
        <v/>
      </c>
      <c r="F32" s="36">
        <f>COUNTIFS($B$7:$B$30,"&lt;&gt;",F7:F30,FALSE)</f>
        <v/>
      </c>
      <c r="G32" s="36">
        <f>COUNTIFS($B$7:$B$30,"&lt;&gt;",G7:G30,FALSE)</f>
        <v/>
      </c>
      <c r="H32" s="36">
        <f>COUNTIFS($B$7:$B$30,"&lt;&gt;",H7:H30,FALSE)</f>
        <v/>
      </c>
      <c r="I32" s="36">
        <f>COUNTIFS($B$7:$B$30,"&lt;&gt;",I7:I30,FALSE)</f>
        <v/>
      </c>
      <c r="J32" s="36">
        <f>COUNTIFS($B$7:$B$30,"&lt;&gt;",J7:J30,FALSE)</f>
        <v/>
      </c>
      <c r="K32" s="36">
        <f>COUNTIFS($B$7:$B$30,"&lt;&gt;",K7:K30,FALSE)</f>
        <v/>
      </c>
      <c r="L32" s="36">
        <f>COUNTIFS($B$7:$B$30,"&lt;&gt;",L7:L30,FALSE)</f>
        <v/>
      </c>
      <c r="M32" s="36">
        <f>COUNTIFS($B$7:$B$30,"&lt;&gt;",M7:M30,FALSE)</f>
        <v/>
      </c>
      <c r="N32" s="36">
        <f>COUNTIFS($B$7:$B$30,"&lt;&gt;",N7:N30,FALSE)</f>
        <v/>
      </c>
      <c r="O32" s="36">
        <f>COUNTIFS($B$7:$B$30,"&lt;&gt;",O7:O30,FALSE)</f>
        <v/>
      </c>
      <c r="P32" s="36">
        <f>COUNTIFS($B$7:$B$30,"&lt;&gt;",P7:P30,FALSE)</f>
        <v/>
      </c>
      <c r="Q32" s="36">
        <f>COUNTIFS($B$7:$B$30,"&lt;&gt;",Q7:Q30,FALSE)</f>
        <v/>
      </c>
      <c r="R32" s="36">
        <f>COUNTIFS($B$7:$B$30,"&lt;&gt;",R7:R30,FALSE)</f>
        <v/>
      </c>
      <c r="S32" s="36">
        <f>COUNTIFS($B$7:$B$30,"&lt;&gt;",S7:S30,FALSE)</f>
        <v/>
      </c>
      <c r="T32" s="36">
        <f>COUNTIFS($B$7:$B$30,"&lt;&gt;",T7:T30,FALSE)</f>
        <v/>
      </c>
      <c r="U32" s="36">
        <f>COUNTIFS($B$7:$B$30,"&lt;&gt;",U7:U30,FALSE)</f>
        <v/>
      </c>
      <c r="V32" s="36">
        <f>COUNTIFS($B$7:$B$30,"&lt;&gt;",V7:V30,FALSE)</f>
        <v/>
      </c>
      <c r="W32" s="36">
        <f>COUNTIFS($B$7:$B$30,"&lt;&gt;",W7:W30,FALSE)</f>
        <v/>
      </c>
      <c r="X32" s="36">
        <f>COUNTIFS($B$7:$B$30,"&lt;&gt;",X7:X30,FALSE)</f>
        <v/>
      </c>
      <c r="Y32" s="36">
        <f>COUNTIFS($B$7:$B$30,"&lt;&gt;",Y7:Y30,FALSE)</f>
        <v/>
      </c>
      <c r="Z32" s="36">
        <f>COUNTIFS($B$7:$B$30,"&lt;&gt;",Z7:Z30,FALSE)</f>
        <v/>
      </c>
      <c r="AA32" s="36">
        <f>COUNTIFS($B$7:$B$30,"&lt;&gt;",AA7:AA30,FALSE)</f>
        <v/>
      </c>
      <c r="AB32" s="36">
        <f>COUNTIFS($B$7:$B$30,"&lt;&gt;",AB7:AB30,FALSE)</f>
        <v/>
      </c>
      <c r="AC32" s="36">
        <f>COUNTIFS($B$7:$B$30,"&lt;&gt;",AC7:AC30,FALSE)</f>
        <v/>
      </c>
      <c r="AD32" s="36">
        <f>COUNTIFS($B$7:$B$30,"&lt;&gt;",AD7:AD30,FALSE)</f>
        <v/>
      </c>
      <c r="AE32" s="36">
        <f>COUNTIFS($B$7:$B$30,"&lt;&gt;",AE7:AE30,FALSE)</f>
        <v/>
      </c>
      <c r="AF32" s="36">
        <f>COUNTIFS($B$7:$B$30,"&lt;&gt;",AF7:AF30,FALSE)</f>
        <v/>
      </c>
      <c r="AG32" s="36">
        <f>COUNTIFS($B$7:$B$30,"&lt;&gt;",AG7:AG30,FALSE)</f>
        <v/>
      </c>
    </row>
    <row r="33">
      <c r="B33" s="35" t="inlineStr">
        <is>
          <t>ПРОГРЕСС %</t>
        </is>
      </c>
      <c r="C33" s="37">
        <f>IFERROR(C31/(C31+C32),0)</f>
        <v/>
      </c>
      <c r="D33" s="37">
        <f>IFERROR(D31/(D31+D32),0)</f>
        <v/>
      </c>
      <c r="E33" s="37">
        <f>IFERROR(E31/(E31+E32),0)</f>
        <v/>
      </c>
      <c r="F33" s="37">
        <f>IFERROR(F31/(F31+F32),0)</f>
        <v/>
      </c>
      <c r="G33" s="37">
        <f>IFERROR(G31/(G31+G32),0)</f>
        <v/>
      </c>
      <c r="H33" s="37">
        <f>IFERROR(H31/(H31+H32),0)</f>
        <v/>
      </c>
      <c r="I33" s="37">
        <f>IFERROR(I31/(I31+I32),0)</f>
        <v/>
      </c>
      <c r="J33" s="37">
        <f>IFERROR(J31/(J31+J32),0)</f>
        <v/>
      </c>
      <c r="K33" s="37">
        <f>IFERROR(K31/(K31+K32),0)</f>
        <v/>
      </c>
      <c r="L33" s="37">
        <f>IFERROR(L31/(L31+L32),0)</f>
        <v/>
      </c>
      <c r="M33" s="37">
        <f>IFERROR(M31/(M31+M32),0)</f>
        <v/>
      </c>
      <c r="N33" s="37">
        <f>IFERROR(N31/(N31+N32),0)</f>
        <v/>
      </c>
      <c r="O33" s="37">
        <f>IFERROR(O31/(O31+O32),0)</f>
        <v/>
      </c>
      <c r="P33" s="37">
        <f>IFERROR(P31/(P31+P32),0)</f>
        <v/>
      </c>
      <c r="Q33" s="37">
        <f>IFERROR(Q31/(Q31+Q32),0)</f>
        <v/>
      </c>
      <c r="R33" s="37">
        <f>IFERROR(R31/(R31+R32),0)</f>
        <v/>
      </c>
      <c r="S33" s="37">
        <f>IFERROR(S31/(S31+S32),0)</f>
        <v/>
      </c>
      <c r="T33" s="37">
        <f>IFERROR(T31/(T31+T32),0)</f>
        <v/>
      </c>
      <c r="U33" s="37">
        <f>IFERROR(U31/(U31+U32),0)</f>
        <v/>
      </c>
      <c r="V33" s="37">
        <f>IFERROR(V31/(V31+V32),0)</f>
        <v/>
      </c>
      <c r="W33" s="37">
        <f>IFERROR(W31/(W31+W32),0)</f>
        <v/>
      </c>
      <c r="X33" s="37">
        <f>IFERROR(X31/(X31+X32),0)</f>
        <v/>
      </c>
      <c r="Y33" s="37">
        <f>IFERROR(Y31/(Y31+Y32),0)</f>
        <v/>
      </c>
      <c r="Z33" s="37">
        <f>IFERROR(Z31/(Z31+Z32),0)</f>
        <v/>
      </c>
      <c r="AA33" s="37">
        <f>IFERROR(AA31/(AA31+AA32),0)</f>
        <v/>
      </c>
      <c r="AB33" s="37">
        <f>IFERROR(AB31/(AB31+AB32),0)</f>
        <v/>
      </c>
      <c r="AC33" s="37">
        <f>IFERROR(AC31/(AC31+AC32),0)</f>
        <v/>
      </c>
      <c r="AD33" s="37">
        <f>IFERROR(AD31/(AD31+AD32),0)</f>
        <v/>
      </c>
      <c r="AE33" s="37">
        <f>IFERROR(AE31/(AE31+AE32),0)</f>
        <v/>
      </c>
      <c r="AF33" s="37">
        <f>IFERROR(AF31/(AF31+AF32),0)</f>
        <v/>
      </c>
      <c r="AG33" s="37">
        <f>IFERROR(AG31/(AG31+AG32),0)</f>
        <v/>
      </c>
    </row>
    <row r="35">
      <c r="B35" s="13" t="inlineStr">
        <is>
          <t>ЕЖЕНЕДЕЛЬНЫЕ ПРИВЫЧКИ</t>
        </is>
      </c>
      <c r="C35" s="38" t="inlineStr">
        <is>
          <t>НЕДЕЛЯ 1</t>
        </is>
      </c>
      <c r="D35" s="38" t="inlineStr">
        <is>
          <t>НЕДЕЛЯ 2</t>
        </is>
      </c>
      <c r="E35" s="38" t="inlineStr">
        <is>
          <t>НЕДЕЛЯ 3</t>
        </is>
      </c>
      <c r="F35" s="38" t="inlineStr">
        <is>
          <t>НЕДЕЛЯ 4</t>
        </is>
      </c>
      <c r="G35" s="38" t="inlineStr">
        <is>
          <t>НЕДЕЛЯ 5</t>
        </is>
      </c>
    </row>
    <row r="36">
      <c r="B36" s="18" t="inlineStr">
        <is>
          <t>🏋 Спортзал 3 раза в неделю</t>
        </is>
      </c>
      <c r="C36" s="34" t="b">
        <v>0</v>
      </c>
      <c r="D36" s="34" t="b">
        <v>0</v>
      </c>
      <c r="E36" s="34" t="b">
        <v>0</v>
      </c>
      <c r="F36" s="34" t="b">
        <v>0</v>
      </c>
      <c r="G36" s="34" t="b">
        <v>0</v>
      </c>
    </row>
    <row r="37">
      <c r="B37" s="18" t="inlineStr">
        <is>
          <t>💰 Анализ расходов</t>
        </is>
      </c>
      <c r="C37" s="34" t="b">
        <v>0</v>
      </c>
      <c r="D37" s="34" t="b">
        <v>0</v>
      </c>
      <c r="E37" s="34" t="b">
        <v>0</v>
      </c>
      <c r="F37" s="34" t="b">
        <v>0</v>
      </c>
      <c r="G37" s="34" t="b">
        <v>0</v>
      </c>
    </row>
    <row r="38">
      <c r="B38" s="18" t="n"/>
      <c r="C38" s="34" t="b">
        <v>0</v>
      </c>
      <c r="D38" s="34" t="b">
        <v>0</v>
      </c>
      <c r="E38" s="34" t="b">
        <v>0</v>
      </c>
      <c r="F38" s="34" t="b">
        <v>0</v>
      </c>
      <c r="G38" s="34" t="b">
        <v>0</v>
      </c>
    </row>
    <row r="39">
      <c r="B39" s="18" t="n"/>
      <c r="C39" s="34" t="b">
        <v>0</v>
      </c>
      <c r="D39" s="34" t="b">
        <v>0</v>
      </c>
      <c r="E39" s="34" t="b">
        <v>0</v>
      </c>
      <c r="F39" s="34" t="b">
        <v>0</v>
      </c>
      <c r="G39" s="34" t="b">
        <v>0</v>
      </c>
    </row>
    <row r="40">
      <c r="B40" s="18" t="n"/>
      <c r="C40" s="34" t="b">
        <v>0</v>
      </c>
      <c r="D40" s="34" t="b">
        <v>0</v>
      </c>
      <c r="E40" s="34" t="b">
        <v>0</v>
      </c>
      <c r="F40" s="34" t="b">
        <v>0</v>
      </c>
      <c r="G40" s="34" t="b">
        <v>0</v>
      </c>
    </row>
    <row r="41">
      <c r="B41" s="18" t="n"/>
      <c r="C41" s="34" t="b">
        <v>0</v>
      </c>
      <c r="D41" s="34" t="b">
        <v>0</v>
      </c>
      <c r="E41" s="34" t="b">
        <v>0</v>
      </c>
      <c r="F41" s="34" t="b">
        <v>0</v>
      </c>
      <c r="G41" s="34" t="b">
        <v>0</v>
      </c>
    </row>
    <row r="42">
      <c r="B42" s="18" t="n"/>
      <c r="C42" s="34" t="b">
        <v>0</v>
      </c>
      <c r="D42" s="34" t="b">
        <v>0</v>
      </c>
      <c r="E42" s="34" t="b">
        <v>0</v>
      </c>
      <c r="F42" s="34" t="b">
        <v>0</v>
      </c>
      <c r="G42" s="34" t="b">
        <v>0</v>
      </c>
    </row>
    <row r="43">
      <c r="B43" s="18" t="n"/>
      <c r="C43" s="34" t="b">
        <v>0</v>
      </c>
      <c r="D43" s="34" t="b">
        <v>0</v>
      </c>
      <c r="E43" s="34" t="b">
        <v>0</v>
      </c>
      <c r="F43" s="34" t="b">
        <v>0</v>
      </c>
      <c r="G43" s="34" t="b">
        <v>0</v>
      </c>
    </row>
    <row r="44">
      <c r="B44" s="18" t="n"/>
      <c r="C44" s="34" t="b">
        <v>0</v>
      </c>
      <c r="D44" s="34" t="b">
        <v>0</v>
      </c>
      <c r="E44" s="34" t="b">
        <v>0</v>
      </c>
      <c r="F44" s="34" t="b">
        <v>0</v>
      </c>
      <c r="G44" s="34" t="b">
        <v>0</v>
      </c>
    </row>
    <row r="45">
      <c r="B45" s="18" t="n"/>
      <c r="C45" s="34" t="b">
        <v>0</v>
      </c>
      <c r="D45" s="34" t="b">
        <v>0</v>
      </c>
      <c r="E45" s="34" t="b">
        <v>0</v>
      </c>
      <c r="F45" s="34" t="b">
        <v>0</v>
      </c>
      <c r="G45" s="34" t="b">
        <v>0</v>
      </c>
    </row>
    <row r="47">
      <c r="B47" s="7" t="inlineStr">
        <is>
          <t>ЕЖЕМЕСЯЧНЫЕ ПРИВЫЧКИ</t>
        </is>
      </c>
      <c r="C47" s="8" t="n"/>
    </row>
    <row r="48">
      <c r="B48" s="18" t="inlineStr">
        <is>
          <t>📏 Сделать замеры до/после</t>
        </is>
      </c>
      <c r="C48" s="34" t="b">
        <v>0</v>
      </c>
    </row>
    <row r="49">
      <c r="B49" s="18" t="n"/>
      <c r="C49" s="34" t="b">
        <v>0</v>
      </c>
    </row>
    <row r="50">
      <c r="B50" s="18" t="n"/>
      <c r="C50" s="34" t="b">
        <v>0</v>
      </c>
    </row>
    <row r="51">
      <c r="B51" s="18" t="n"/>
      <c r="C51" s="34" t="b">
        <v>0</v>
      </c>
    </row>
    <row r="52">
      <c r="B52" s="18" t="n"/>
      <c r="C52" s="34" t="b">
        <v>0</v>
      </c>
    </row>
    <row r="53">
      <c r="B53" s="18" t="n"/>
      <c r="C53" s="34" t="b">
        <v>0</v>
      </c>
    </row>
    <row r="54">
      <c r="B54" s="18" t="n"/>
      <c r="C54" s="34" t="b">
        <v>0</v>
      </c>
    </row>
    <row r="55">
      <c r="B55" s="18" t="n"/>
      <c r="C55" s="34" t="b">
        <v>0</v>
      </c>
    </row>
    <row r="56">
      <c r="B56" s="18" t="n"/>
      <c r="C56" s="34" t="b">
        <v>0</v>
      </c>
    </row>
    <row r="57">
      <c r="B57" s="18" t="n"/>
      <c r="C57" s="34" t="b">
        <v>0</v>
      </c>
    </row>
    <row r="59">
      <c r="B59" s="13" t="inlineStr">
        <is>
          <t>ЗАМЕТКИ</t>
        </is>
      </c>
      <c r="C59" s="14" t="n"/>
      <c r="D59" s="14" t="n"/>
      <c r="E59" s="14" t="n"/>
      <c r="F59" s="14" t="n"/>
      <c r="G59" s="14" t="n"/>
      <c r="H59" s="14" t="n"/>
      <c r="I59" s="14" t="n"/>
      <c r="J59" s="14" t="n"/>
      <c r="K59" s="14" t="n"/>
      <c r="L59" s="14" t="n"/>
      <c r="M59" s="14" t="n"/>
      <c r="N59" s="14" t="n"/>
      <c r="O59" s="14" t="n"/>
      <c r="P59" s="14" t="n"/>
    </row>
    <row r="60">
      <c r="B60" s="39" t="n"/>
      <c r="C60" s="39" t="n"/>
      <c r="D60" s="39" t="n"/>
      <c r="E60" s="39" t="n"/>
      <c r="F60" s="39" t="n"/>
      <c r="G60" s="39" t="n"/>
      <c r="H60" s="39" t="n"/>
      <c r="I60" s="39" t="n"/>
      <c r="J60" s="39" t="n"/>
      <c r="K60" s="39" t="n"/>
      <c r="L60" s="39" t="n"/>
      <c r="M60" s="39" t="n"/>
      <c r="N60" s="39" t="n"/>
      <c r="O60" s="39" t="n"/>
      <c r="P60" s="39" t="n"/>
    </row>
    <row r="61">
      <c r="B61" s="39" t="n"/>
      <c r="C61" s="39" t="n"/>
      <c r="D61" s="39" t="n"/>
      <c r="E61" s="39" t="n"/>
      <c r="F61" s="39" t="n"/>
      <c r="G61" s="39" t="n"/>
      <c r="H61" s="39" t="n"/>
      <c r="I61" s="39" t="n"/>
      <c r="J61" s="39" t="n"/>
      <c r="K61" s="39" t="n"/>
      <c r="L61" s="39" t="n"/>
      <c r="M61" s="39" t="n"/>
      <c r="N61" s="39" t="n"/>
      <c r="O61" s="39" t="n"/>
      <c r="P61" s="39" t="n"/>
    </row>
    <row r="62">
      <c r="B62" s="39" t="n"/>
      <c r="C62" s="39" t="n"/>
      <c r="D62" s="39" t="n"/>
      <c r="E62" s="39" t="n"/>
      <c r="F62" s="39" t="n"/>
      <c r="G62" s="39" t="n"/>
      <c r="H62" s="39" t="n"/>
      <c r="I62" s="39" t="n"/>
      <c r="J62" s="39" t="n"/>
      <c r="K62" s="39" t="n"/>
      <c r="L62" s="39" t="n"/>
      <c r="M62" s="39" t="n"/>
      <c r="N62" s="39" t="n"/>
      <c r="O62" s="39" t="n"/>
      <c r="P62" s="39" t="n"/>
    </row>
    <row r="63">
      <c r="B63" s="39" t="n"/>
      <c r="C63" s="39" t="n"/>
      <c r="D63" s="39" t="n"/>
      <c r="E63" s="39" t="n"/>
      <c r="F63" s="39" t="n"/>
      <c r="G63" s="39" t="n"/>
      <c r="H63" s="39" t="n"/>
      <c r="I63" s="39" t="n"/>
      <c r="J63" s="39" t="n"/>
      <c r="K63" s="39" t="n"/>
      <c r="L63" s="39" t="n"/>
      <c r="M63" s="39" t="n"/>
      <c r="N63" s="39" t="n"/>
      <c r="O63" s="39" t="n"/>
      <c r="P63" s="39" t="n"/>
    </row>
    <row r="64">
      <c r="B64" s="39" t="n"/>
      <c r="C64" s="39" t="n"/>
      <c r="D64" s="39" t="n"/>
      <c r="E64" s="39" t="n"/>
      <c r="F64" s="39" t="n"/>
      <c r="G64" s="39" t="n"/>
      <c r="H64" s="39" t="n"/>
      <c r="I64" s="39" t="n"/>
      <c r="J64" s="39" t="n"/>
      <c r="K64" s="39" t="n"/>
      <c r="L64" s="39" t="n"/>
      <c r="M64" s="39" t="n"/>
      <c r="N64" s="39" t="n"/>
      <c r="O64" s="39" t="n"/>
      <c r="P64" s="39" t="n"/>
    </row>
    <row r="65">
      <c r="B65" s="39" t="n"/>
      <c r="C65" s="39" t="n"/>
      <c r="D65" s="39" t="n"/>
      <c r="E65" s="39" t="n"/>
      <c r="F65" s="39" t="n"/>
      <c r="G65" s="39" t="n"/>
      <c r="H65" s="39" t="n"/>
      <c r="I65" s="39" t="n"/>
      <c r="J65" s="39" t="n"/>
      <c r="K65" s="39" t="n"/>
      <c r="L65" s="39" t="n"/>
      <c r="M65" s="39" t="n"/>
      <c r="N65" s="39" t="n"/>
      <c r="O65" s="39" t="n"/>
      <c r="P65" s="39" t="n"/>
    </row>
  </sheetData>
  <mergeCells count="15">
    <mergeCell ref="A1:AG1"/>
    <mergeCell ref="B35"/>
    <mergeCell ref="F35"/>
    <mergeCell ref="C35"/>
    <mergeCell ref="B4:B5"/>
    <mergeCell ref="D35"/>
    <mergeCell ref="E35"/>
    <mergeCell ref="X4:AD4"/>
    <mergeCell ref="G35"/>
    <mergeCell ref="B47:C47"/>
    <mergeCell ref="Q4:W4"/>
    <mergeCell ref="B59:P59"/>
    <mergeCell ref="C4:I4"/>
    <mergeCell ref="J4:P4"/>
    <mergeCell ref="AE4:AG4"/>
  </mergeCells>
  <conditionalFormatting sqref="C7:AG7">
    <cfRule type="expression" priority="1" dxfId="1">
      <formula>C7=TRUE</formula>
    </cfRule>
  </conditionalFormatting>
  <conditionalFormatting sqref="C8:AG8">
    <cfRule type="expression" priority="2" dxfId="1">
      <formula>C8=TRUE</formula>
    </cfRule>
  </conditionalFormatting>
  <conditionalFormatting sqref="C9:AG9">
    <cfRule type="expression" priority="3" dxfId="1">
      <formula>C9=TRUE</formula>
    </cfRule>
  </conditionalFormatting>
  <conditionalFormatting sqref="C10:AG10">
    <cfRule type="expression" priority="4" dxfId="1">
      <formula>C10=TRUE</formula>
    </cfRule>
  </conditionalFormatting>
  <conditionalFormatting sqref="C11:AG11">
    <cfRule type="expression" priority="5" dxfId="1">
      <formula>C11=TRUE</formula>
    </cfRule>
  </conditionalFormatting>
  <conditionalFormatting sqref="C12:AG12">
    <cfRule type="expression" priority="6" dxfId="1">
      <formula>C12=TRUE</formula>
    </cfRule>
  </conditionalFormatting>
  <conditionalFormatting sqref="C13:AG13">
    <cfRule type="expression" priority="7" dxfId="1">
      <formula>C13=TRUE</formula>
    </cfRule>
  </conditionalFormatting>
  <conditionalFormatting sqref="C14:AG14">
    <cfRule type="expression" priority="8" dxfId="1">
      <formula>C14=TRUE</formula>
    </cfRule>
  </conditionalFormatting>
  <conditionalFormatting sqref="C15:AG15">
    <cfRule type="expression" priority="9" dxfId="1">
      <formula>C15=TRUE</formula>
    </cfRule>
  </conditionalFormatting>
  <conditionalFormatting sqref="C16:AG16">
    <cfRule type="expression" priority="10" dxfId="1">
      <formula>C16=TRUE</formula>
    </cfRule>
  </conditionalFormatting>
  <conditionalFormatting sqref="C17:AG17">
    <cfRule type="expression" priority="11" dxfId="1">
      <formula>C17=TRUE</formula>
    </cfRule>
  </conditionalFormatting>
  <conditionalFormatting sqref="C18:AG18">
    <cfRule type="expression" priority="12" dxfId="1">
      <formula>C18=TRUE</formula>
    </cfRule>
  </conditionalFormatting>
  <conditionalFormatting sqref="C19:AG19">
    <cfRule type="expression" priority="13" dxfId="1">
      <formula>C19=TRUE</formula>
    </cfRule>
  </conditionalFormatting>
  <conditionalFormatting sqref="C20:AG20">
    <cfRule type="expression" priority="14" dxfId="1">
      <formula>C20=TRUE</formula>
    </cfRule>
  </conditionalFormatting>
  <conditionalFormatting sqref="C21:AG21">
    <cfRule type="expression" priority="15" dxfId="1">
      <formula>C21=TRUE</formula>
    </cfRule>
  </conditionalFormatting>
  <conditionalFormatting sqref="C22:AG22">
    <cfRule type="expression" priority="16" dxfId="1">
      <formula>C22=TRUE</formula>
    </cfRule>
  </conditionalFormatting>
  <conditionalFormatting sqref="C23:AG23">
    <cfRule type="expression" priority="17" dxfId="1">
      <formula>C23=TRUE</formula>
    </cfRule>
  </conditionalFormatting>
  <conditionalFormatting sqref="C24:AG24">
    <cfRule type="expression" priority="18" dxfId="1">
      <formula>C24=TRUE</formula>
    </cfRule>
  </conditionalFormatting>
  <conditionalFormatting sqref="C25:AG25">
    <cfRule type="expression" priority="19" dxfId="1">
      <formula>C25=TRUE</formula>
    </cfRule>
  </conditionalFormatting>
  <conditionalFormatting sqref="C26:AG26">
    <cfRule type="expression" priority="20" dxfId="1">
      <formula>C26=TRUE</formula>
    </cfRule>
  </conditionalFormatting>
  <conditionalFormatting sqref="C27:AG27">
    <cfRule type="expression" priority="21" dxfId="1">
      <formula>C27=TRUE</formula>
    </cfRule>
  </conditionalFormatting>
  <conditionalFormatting sqref="C28:AG28">
    <cfRule type="expression" priority="22" dxfId="1">
      <formula>C28=TRUE</formula>
    </cfRule>
  </conditionalFormatting>
  <conditionalFormatting sqref="C29:AG29">
    <cfRule type="expression" priority="23" dxfId="1">
      <formula>C29=TRUE</formula>
    </cfRule>
  </conditionalFormatting>
  <conditionalFormatting sqref="C30:AG30">
    <cfRule type="expression" priority="24" dxfId="1">
      <formula>C30=TRUE</formula>
    </cfRule>
  </conditionalFormatting>
  <conditionalFormatting sqref="C33:AG33">
    <cfRule type="colorScale" priority="25">
      <colorScale>
        <cfvo type="min"/>
        <cfvo type="max"/>
        <color rgb="00FBEDF1"/>
        <color rgb="009DC3A4"/>
      </colorScale>
    </cfRule>
  </conditionalFormatting>
  <conditionalFormatting sqref="C36:G45">
    <cfRule type="expression" priority="26" dxfId="1">
      <formula>C36=TRUE</formula>
    </cfRule>
  </conditionalFormatting>
  <conditionalFormatting sqref="C48:C57">
    <cfRule type="expression" priority="27" dxfId="2">
      <formula>C48=TRUE</formula>
    </cfRule>
  </conditionalFormatting>
  <dataValidations count="28">
    <dataValidation sqref="B2" showDropDown="0" showInputMessage="0" showErrorMessage="0" allowBlank="1" type="list">
      <formula1>=Справочник!$L$3:$L$14</formula1>
    </dataValidation>
    <dataValidation sqref="D2" showDropDown="0" showInputMessage="0" showErrorMessage="0" allowBlank="1" type="list">
      <formula1>=Справочник!$M$3:$M$12</formula1>
    </dataValidation>
    <dataValidation sqref="C7:AG7" showDropDown="0" showInputMessage="0" showErrorMessage="0" allowBlank="1" type="list">
      <formula1>"TRUE,FALSE"</formula1>
    </dataValidation>
    <dataValidation sqref="C8:AG8" showDropDown="0" showInputMessage="0" showErrorMessage="0" allowBlank="1" type="list">
      <formula1>"TRUE,FALSE"</formula1>
    </dataValidation>
    <dataValidation sqref="C9:AG9" showDropDown="0" showInputMessage="0" showErrorMessage="0" allowBlank="1" type="list">
      <formula1>"TRUE,FALSE"</formula1>
    </dataValidation>
    <dataValidation sqref="C10:AG10" showDropDown="0" showInputMessage="0" showErrorMessage="0" allowBlank="1" type="list">
      <formula1>"TRUE,FALSE"</formula1>
    </dataValidation>
    <dataValidation sqref="C11:AG11" showDropDown="0" showInputMessage="0" showErrorMessage="0" allowBlank="1" type="list">
      <formula1>"TRUE,FALSE"</formula1>
    </dataValidation>
    <dataValidation sqref="C12:AG12" showDropDown="0" showInputMessage="0" showErrorMessage="0" allowBlank="1" type="list">
      <formula1>"TRUE,FALSE"</formula1>
    </dataValidation>
    <dataValidation sqref="C13:AG13" showDropDown="0" showInputMessage="0" showErrorMessage="0" allowBlank="1" type="list">
      <formula1>"TRUE,FALSE"</formula1>
    </dataValidation>
    <dataValidation sqref="C14:AG14" showDropDown="0" showInputMessage="0" showErrorMessage="0" allowBlank="1" type="list">
      <formula1>"TRUE,FALSE"</formula1>
    </dataValidation>
    <dataValidation sqref="C15:AG15" showDropDown="0" showInputMessage="0" showErrorMessage="0" allowBlank="1" type="list">
      <formula1>"TRUE,FALSE"</formula1>
    </dataValidation>
    <dataValidation sqref="C16:AG16" showDropDown="0" showInputMessage="0" showErrorMessage="0" allowBlank="1" type="list">
      <formula1>"TRUE,FALSE"</formula1>
    </dataValidation>
    <dataValidation sqref="C17:AG17" showDropDown="0" showInputMessage="0" showErrorMessage="0" allowBlank="1" type="list">
      <formula1>"TRUE,FALSE"</formula1>
    </dataValidation>
    <dataValidation sqref="C18:AG18" showDropDown="0" showInputMessage="0" showErrorMessage="0" allowBlank="1" type="list">
      <formula1>"TRUE,FALSE"</formula1>
    </dataValidation>
    <dataValidation sqref="C19:AG19" showDropDown="0" showInputMessage="0" showErrorMessage="0" allowBlank="1" type="list">
      <formula1>"TRUE,FALSE"</formula1>
    </dataValidation>
    <dataValidation sqref="C20:AG20" showDropDown="0" showInputMessage="0" showErrorMessage="0" allowBlank="1" type="list">
      <formula1>"TRUE,FALSE"</formula1>
    </dataValidation>
    <dataValidation sqref="C21:AG21" showDropDown="0" showInputMessage="0" showErrorMessage="0" allowBlank="1" type="list">
      <formula1>"TRUE,FALSE"</formula1>
    </dataValidation>
    <dataValidation sqref="C22:AG22" showDropDown="0" showInputMessage="0" showErrorMessage="0" allowBlank="1" type="list">
      <formula1>"TRUE,FALSE"</formula1>
    </dataValidation>
    <dataValidation sqref="C23:AG23" showDropDown="0" showInputMessage="0" showErrorMessage="0" allowBlank="1" type="list">
      <formula1>"TRUE,FALSE"</formula1>
    </dataValidation>
    <dataValidation sqref="C24:AG24" showDropDown="0" showInputMessage="0" showErrorMessage="0" allowBlank="1" type="list">
      <formula1>"TRUE,FALSE"</formula1>
    </dataValidation>
    <dataValidation sqref="C25:AG25" showDropDown="0" showInputMessage="0" showErrorMessage="0" allowBlank="1" type="list">
      <formula1>"TRUE,FALSE"</formula1>
    </dataValidation>
    <dataValidation sqref="C26:AG26" showDropDown="0" showInputMessage="0" showErrorMessage="0" allowBlank="1" type="list">
      <formula1>"TRUE,FALSE"</formula1>
    </dataValidation>
    <dataValidation sqref="C27:AG27" showDropDown="0" showInputMessage="0" showErrorMessage="0" allowBlank="1" type="list">
      <formula1>"TRUE,FALSE"</formula1>
    </dataValidation>
    <dataValidation sqref="C28:AG28" showDropDown="0" showInputMessage="0" showErrorMessage="0" allowBlank="1" type="list">
      <formula1>"TRUE,FALSE"</formula1>
    </dataValidation>
    <dataValidation sqref="C29:AG29" showDropDown="0" showInputMessage="0" showErrorMessage="0" allowBlank="1" type="list">
      <formula1>"TRUE,FALSE"</formula1>
    </dataValidation>
    <dataValidation sqref="C30:AG30" showDropDown="0" showInputMessage="0" showErrorMessage="0" allowBlank="1" type="list">
      <formula1>"TRUE,FALSE"</formula1>
    </dataValidation>
    <dataValidation sqref="C36:G45" showDropDown="0" showInputMessage="0" showErrorMessage="0" allowBlank="1" type="list">
      <formula1>"TRUE,FALSE"</formula1>
    </dataValidation>
    <dataValidation sqref="C48:C57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9C8DE"/>
    <outlinePr summaryBelow="1" summaryRight="1"/>
    <pageSetUpPr/>
  </sheetPr>
  <dimension ref="A1:O6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2" customWidth="1" min="2" max="2"/>
    <col width="12" customWidth="1" min="3" max="3"/>
    <col width="8" customWidth="1" min="4" max="4"/>
    <col width="13" customWidth="1" min="5" max="5"/>
    <col width="7" customWidth="1" min="6" max="6"/>
    <col width="12" customWidth="1" min="7" max="7"/>
    <col width="3" customWidth="1" min="8" max="8"/>
    <col width="15" customWidth="1" min="9" max="9"/>
    <col width="8" customWidth="1" min="10" max="10"/>
    <col width="3" customWidth="1" min="11" max="11"/>
    <col width="22" customWidth="1" min="12" max="12"/>
    <col width="10" customWidth="1" min="13" max="13"/>
    <col width="15" customWidth="1" min="14" max="14"/>
    <col width="8" customWidth="1" min="15" max="15"/>
  </cols>
  <sheetData>
    <row r="1" ht="28" customHeight="1">
      <c r="A1" s="40" t="inlineStr">
        <is>
          <t>🗂  МОИ ЗАДАЧИ</t>
        </is>
      </c>
      <c r="B1" s="41" t="n"/>
      <c r="C1" s="41" t="n"/>
      <c r="D1" s="41" t="n"/>
      <c r="E1" s="41" t="n"/>
      <c r="F1" s="41" t="n"/>
      <c r="G1" s="41" t="n"/>
    </row>
    <row r="2">
      <c r="I2" s="3" t="inlineStr">
        <is>
          <t>Месяц:</t>
        </is>
      </c>
      <c r="J2" s="4" t="inlineStr">
        <is>
          <t>Июль</t>
        </is>
      </c>
      <c r="K2" s="3" t="inlineStr">
        <is>
          <t>Год:</t>
        </is>
      </c>
      <c r="L2" s="4" t="n">
        <v>2026</v>
      </c>
    </row>
    <row r="3">
      <c r="B3" s="17" t="inlineStr">
        <is>
          <t>Задача</t>
        </is>
      </c>
      <c r="C3" s="17" t="inlineStr">
        <is>
          <t>Срок</t>
        </is>
      </c>
      <c r="D3" s="17" t="inlineStr">
        <is>
          <t>Дни ⏳</t>
        </is>
      </c>
      <c r="E3" s="17" t="inlineStr">
        <is>
          <t>Приоритет</t>
        </is>
      </c>
      <c r="F3" s="17" t="inlineStr">
        <is>
          <t>✅</t>
        </is>
      </c>
      <c r="G3" s="17" t="inlineStr">
        <is>
          <t>Категория</t>
        </is>
      </c>
    </row>
    <row r="4">
      <c r="B4" s="18" t="inlineStr">
        <is>
          <t>🚶 10k шагов</t>
        </is>
      </c>
      <c r="C4" s="42">
        <f>TODAY()+(-3)</f>
        <v/>
      </c>
      <c r="D4" s="43">
        <f>C4-TODAY()</f>
        <v/>
      </c>
      <c r="E4" s="43" t="inlineStr">
        <is>
          <t>Высокий</t>
        </is>
      </c>
      <c r="F4" s="34" t="b">
        <v>0</v>
      </c>
      <c r="G4" s="43" t="inlineStr">
        <is>
          <t>Личное</t>
        </is>
      </c>
    </row>
    <row r="5">
      <c r="B5" s="18" t="inlineStr">
        <is>
          <t>📕 20 страниц книги</t>
        </is>
      </c>
      <c r="C5" s="42">
        <f>TODAY()+(-1)</f>
        <v/>
      </c>
      <c r="D5" s="43">
        <f>C5-TODAY()</f>
        <v/>
      </c>
      <c r="E5" s="43" t="inlineStr">
        <is>
          <t>Срочно</t>
        </is>
      </c>
      <c r="F5" s="34" t="b">
        <v>0</v>
      </c>
      <c r="G5" s="43" t="inlineStr">
        <is>
          <t>Личное</t>
        </is>
      </c>
    </row>
    <row r="6">
      <c r="B6" s="18" t="inlineStr">
        <is>
          <t>✉️ Отправить письмо клиенту</t>
        </is>
      </c>
      <c r="C6" s="42">
        <f>TODAY()+(0)</f>
        <v/>
      </c>
      <c r="D6" s="43">
        <f>C6-TODAY()</f>
        <v/>
      </c>
      <c r="E6" s="43" t="inlineStr">
        <is>
          <t>Средний</t>
        </is>
      </c>
      <c r="F6" s="34" t="b">
        <v>1</v>
      </c>
      <c r="G6" s="43" t="inlineStr">
        <is>
          <t>Работа</t>
        </is>
      </c>
    </row>
    <row r="7">
      <c r="B7" s="18" t="inlineStr">
        <is>
          <t>🧘 Медитация (10 мин)</t>
        </is>
      </c>
      <c r="C7" s="42">
        <f>TODAY()+(0)</f>
        <v/>
      </c>
      <c r="D7" s="43">
        <f>C7-TODAY()</f>
        <v/>
      </c>
      <c r="E7" s="43" t="inlineStr">
        <is>
          <t>Высокий</t>
        </is>
      </c>
      <c r="F7" s="34" t="b">
        <v>0</v>
      </c>
      <c r="G7" s="43" t="inlineStr">
        <is>
          <t>Личное</t>
        </is>
      </c>
    </row>
    <row r="8">
      <c r="B8" s="18" t="inlineStr">
        <is>
          <t>💰 Посчитать бюджет на месяц</t>
        </is>
      </c>
      <c r="C8" s="42">
        <f>TODAY()+(2)</f>
        <v/>
      </c>
      <c r="D8" s="43">
        <f>C8-TODAY()</f>
        <v/>
      </c>
      <c r="E8" s="43" t="inlineStr">
        <is>
          <t>Низкий</t>
        </is>
      </c>
      <c r="F8" s="34" t="b">
        <v>0</v>
      </c>
      <c r="G8" s="43" t="inlineStr">
        <is>
          <t>Другое</t>
        </is>
      </c>
    </row>
    <row r="9">
      <c r="B9" s="18" t="inlineStr">
        <is>
          <t>🎬 Сделать рилс</t>
        </is>
      </c>
      <c r="C9" s="42">
        <f>TODAY()+(3)</f>
        <v/>
      </c>
      <c r="D9" s="43">
        <f>C9-TODAY()</f>
        <v/>
      </c>
      <c r="E9" s="43" t="inlineStr">
        <is>
          <t>Срочно</t>
        </is>
      </c>
      <c r="F9" s="34" t="b">
        <v>0</v>
      </c>
      <c r="G9" s="43" t="inlineStr">
        <is>
          <t>Работа</t>
        </is>
      </c>
    </row>
    <row r="10">
      <c r="B10" s="18" t="inlineStr">
        <is>
          <t>💳 Оплатить кредит</t>
        </is>
      </c>
      <c r="C10" s="42">
        <f>TODAY()+(-2)</f>
        <v/>
      </c>
      <c r="D10" s="43">
        <f>C10-TODAY()</f>
        <v/>
      </c>
      <c r="E10" s="43" t="inlineStr">
        <is>
          <t>Срочно</t>
        </is>
      </c>
      <c r="F10" s="34" t="b">
        <v>1</v>
      </c>
      <c r="G10" s="43" t="inlineStr">
        <is>
          <t>Другое</t>
        </is>
      </c>
    </row>
    <row r="11">
      <c r="B11" s="18" t="inlineStr">
        <is>
          <t>🗓 План на следующую неделю</t>
        </is>
      </c>
      <c r="C11" s="42">
        <f>TODAY()+(1)</f>
        <v/>
      </c>
      <c r="D11" s="43">
        <f>C11-TODAY()</f>
        <v/>
      </c>
      <c r="E11" s="43" t="inlineStr">
        <is>
          <t>Средний</t>
        </is>
      </c>
      <c r="F11" s="34" t="b">
        <v>0</v>
      </c>
      <c r="G11" s="43" t="inlineStr">
        <is>
          <t>Работа</t>
        </is>
      </c>
    </row>
    <row r="12">
      <c r="B12" s="18" t="inlineStr">
        <is>
          <t>📞 Позвонить маме</t>
        </is>
      </c>
      <c r="C12" s="42">
        <f>TODAY()+(0)</f>
        <v/>
      </c>
      <c r="D12" s="43">
        <f>C12-TODAY()</f>
        <v/>
      </c>
      <c r="E12" s="43" t="inlineStr">
        <is>
          <t>Средний</t>
        </is>
      </c>
      <c r="F12" s="34" t="b">
        <v>1</v>
      </c>
      <c r="G12" s="43" t="inlineStr">
        <is>
          <t>Личное</t>
        </is>
      </c>
    </row>
    <row r="13">
      <c r="B13" s="18" t="inlineStr">
        <is>
          <t>🎤 Подготовить речь для конфы</t>
        </is>
      </c>
      <c r="C13" s="42">
        <f>TODAY()+(2)</f>
        <v/>
      </c>
      <c r="D13" s="43">
        <f>C13-TODAY()</f>
        <v/>
      </c>
      <c r="E13" s="43" t="inlineStr">
        <is>
          <t>Высокий</t>
        </is>
      </c>
      <c r="F13" s="34" t="b">
        <v>0</v>
      </c>
      <c r="G13" s="43" t="inlineStr">
        <is>
          <t>Личное</t>
        </is>
      </c>
    </row>
    <row r="14">
      <c r="B14" s="18" t="inlineStr">
        <is>
          <t>📊 Бюджет на месяц (план)</t>
        </is>
      </c>
      <c r="C14" s="42">
        <f>TODAY()+(10)</f>
        <v/>
      </c>
      <c r="D14" s="43">
        <f>C14-TODAY()</f>
        <v/>
      </c>
      <c r="E14" s="43" t="inlineStr">
        <is>
          <t>Низкий</t>
        </is>
      </c>
      <c r="F14" s="34" t="b">
        <v>0</v>
      </c>
      <c r="G14" s="43" t="inlineStr">
        <is>
          <t>Личное</t>
        </is>
      </c>
    </row>
    <row r="15">
      <c r="B15" s="18" t="inlineStr">
        <is>
          <t>📈 Составить отчёт</t>
        </is>
      </c>
      <c r="C15" s="42">
        <f>TODAY()+(-4)</f>
        <v/>
      </c>
      <c r="D15" s="43">
        <f>C15-TODAY()</f>
        <v/>
      </c>
      <c r="E15" s="43" t="inlineStr">
        <is>
          <t>Высокий</t>
        </is>
      </c>
      <c r="F15" s="34" t="b">
        <v>0</v>
      </c>
      <c r="G15" s="43" t="inlineStr">
        <is>
          <t>Работа</t>
        </is>
      </c>
    </row>
    <row r="16">
      <c r="B16" s="18" t="n"/>
      <c r="C16" s="12" t="n"/>
      <c r="D16" s="12" t="n"/>
      <c r="E16" s="12" t="n"/>
      <c r="F16" s="12" t="b">
        <v>0</v>
      </c>
      <c r="G16" s="12" t="n"/>
    </row>
    <row r="17">
      <c r="B17" s="18" t="n"/>
      <c r="C17" s="12" t="n"/>
      <c r="D17" s="12" t="n"/>
      <c r="E17" s="12" t="n"/>
      <c r="F17" s="12" t="b">
        <v>0</v>
      </c>
      <c r="G17" s="12" t="n"/>
    </row>
    <row r="18">
      <c r="B18" s="18" t="n"/>
      <c r="C18" s="12" t="n"/>
      <c r="D18" s="12" t="n"/>
      <c r="E18" s="12" t="n"/>
      <c r="F18" s="12" t="b">
        <v>0</v>
      </c>
      <c r="G18" s="12" t="n"/>
    </row>
    <row r="19">
      <c r="B19" s="18" t="n"/>
      <c r="C19" s="12" t="n"/>
      <c r="D19" s="12" t="n"/>
      <c r="E19" s="12" t="n"/>
      <c r="F19" s="12" t="b">
        <v>0</v>
      </c>
      <c r="G19" s="12" t="n"/>
    </row>
    <row r="20">
      <c r="B20" s="18" t="n"/>
      <c r="C20" s="12" t="n"/>
      <c r="D20" s="12" t="n"/>
      <c r="E20" s="12" t="n"/>
      <c r="F20" s="12" t="b">
        <v>0</v>
      </c>
      <c r="G20" s="12" t="n"/>
    </row>
    <row r="21">
      <c r="B21" s="18" t="n"/>
      <c r="C21" s="12" t="n"/>
      <c r="D21" s="12" t="n"/>
      <c r="E21" s="12" t="n"/>
      <c r="F21" s="12" t="b">
        <v>0</v>
      </c>
      <c r="G21" s="12" t="n"/>
    </row>
    <row r="22">
      <c r="B22" s="18" t="n"/>
      <c r="C22" s="12" t="n"/>
      <c r="D22" s="12" t="n"/>
      <c r="E22" s="12" t="n"/>
      <c r="F22" s="12" t="b">
        <v>0</v>
      </c>
      <c r="G22" s="12" t="n"/>
    </row>
    <row r="23">
      <c r="B23" s="18" t="n"/>
      <c r="C23" s="12" t="n"/>
      <c r="D23" s="12" t="n"/>
      <c r="E23" s="12" t="n"/>
      <c r="F23" s="12" t="b">
        <v>0</v>
      </c>
      <c r="G23" s="12" t="n"/>
    </row>
    <row r="25">
      <c r="B25" s="44" t="inlineStr">
        <is>
          <t>СРОЧНЫЕ</t>
        </is>
      </c>
      <c r="C25" s="45">
        <f>SUMPRODUCT(($E$4:$E$23="Срочно")*(YEAR($C$4:$C$23+0)=$L$2)*(MONTH($C$4:$C$23+0)=MATCH($J$2,Справочник!$L$3:$L$14,0)))</f>
        <v/>
      </c>
      <c r="E25" s="17" t="inlineStr">
        <is>
          <t>ВСЕГО ЗАДАЧ</t>
        </is>
      </c>
      <c r="G25" s="46">
        <f>SUMPRODUCT((YEAR($C$4:$C$23+0)=$L$2)*(MONTH($C$4:$C$23+0)=MATCH($J$2,Справочник!$L$3:$L$14,0)))</f>
        <v/>
      </c>
      <c r="I25" s="33" t="inlineStr">
        <is>
          <t>Срочно</t>
        </is>
      </c>
      <c r="J25" s="33">
        <f>SUMPRODUCT(($E$4:$E$23="Срочно")*(YEAR($C$4:$C$23+0)=$L$2)*(MONTH($C$4:$C$23+0)=MATCH($J$2,Справочник!$L$3:$L$14,0)))</f>
        <v/>
      </c>
      <c r="L25" s="47" t="inlineStr">
        <is>
          <t>ЗАДАЧ ВЫПОЛНЕНО (месяц)</t>
        </is>
      </c>
      <c r="M25" s="48">
        <f>SUMPRODUCT(($F$4:$F$23=TRUE)*(YEAR($C$4:$C$23+0)=$L$2)*(MONTH($C$4:$C$23+0)=MATCH($J$2,Справочник!$L$3:$L$14,0)))&amp;"/"&amp;SUMPRODUCT((YEAR($C$4:$C$23+0)=$L$2)*(MONTH($C$4:$C$23+0)=MATCH($J$2,Справочник!$L$3:$L$14,0)))</f>
        <v/>
      </c>
      <c r="N25" s="33" t="inlineStr">
        <is>
          <t>Работа</t>
        </is>
      </c>
      <c r="O25" s="33">
        <f>SUMPRODUCT(($G$4:$G$23="Работа")*(YEAR($C$4:$C$23+0)=$L$2)*(MONTH($C$4:$C$23+0)=MATCH($J$2,Справочник!$L$3:$L$14,0)))</f>
        <v/>
      </c>
    </row>
    <row r="26">
      <c r="B26" s="49" t="inlineStr">
        <is>
          <t>ВЫСОКИЙ ПРИОРИТЕТ</t>
        </is>
      </c>
      <c r="C26" s="50">
        <f>SUMPRODUCT(($E$4:$E$23="Высокий")*(YEAR($C$4:$C$23+0)=$L$2)*(MONTH($C$4:$C$23+0)=MATCH($J$2,Справочник!$L$3:$L$14,0)))</f>
        <v/>
      </c>
      <c r="E26" s="17" t="inlineStr">
        <is>
          <t>ЛИЧНЫЕ</t>
        </is>
      </c>
      <c r="G26" s="46">
        <f>SUMPRODUCT(($G$4:$G$23="Личное")*(YEAR($C$4:$C$23+0)=$L$2)*(MONTH($C$4:$C$23+0)=MATCH($J$2,Справочник!$L$3:$L$14,0)))</f>
        <v/>
      </c>
      <c r="I26" s="33" t="inlineStr">
        <is>
          <t>Высокий</t>
        </is>
      </c>
      <c r="J26" s="33">
        <f>SUMPRODUCT(($E$4:$E$23="Высокий")*(YEAR($C$4:$C$23+0)=$L$2)*(MONTH($C$4:$C$23+0)=MATCH($J$2,Справочник!$L$3:$L$14,0)))</f>
        <v/>
      </c>
      <c r="L26" s="47" t="inlineStr">
        <is>
          <t>ПРОГРЕСС (месяц)</t>
        </is>
      </c>
      <c r="M26" s="51">
        <f>IFERROR(SUMPRODUCT(($F$4:$F$23=TRUE)*(YEAR($C$4:$C$23+0)=$L$2)*(MONTH($C$4:$C$23+0)=MATCH($J$2,Справочник!$L$3:$L$14,0)))/SUMPRODUCT((YEAR($C$4:$C$23+0)=$L$2)*(MONTH($C$4:$C$23+0)=MATCH($J$2,Справочник!$L$3:$L$14,0))),0)</f>
        <v/>
      </c>
      <c r="N26" s="33" t="inlineStr">
        <is>
          <t>Личное</t>
        </is>
      </c>
      <c r="O26" s="33">
        <f>SUMPRODUCT(($G$4:$G$23="Личное")*(YEAR($C$4:$C$23+0)=$L$2)*(MONTH($C$4:$C$23+0)=MATCH($J$2,Справочник!$L$3:$L$14,0)))</f>
        <v/>
      </c>
    </row>
    <row r="27">
      <c r="B27" s="52" t="inlineStr">
        <is>
          <t>СРЕДНИЙ ПРИОРИТЕТ</t>
        </is>
      </c>
      <c r="C27" s="53">
        <f>SUMPRODUCT(($E$4:$E$23="Средний")*(YEAR($C$4:$C$23+0)=$L$2)*(MONTH($C$4:$C$23+0)=MATCH($J$2,Справочник!$L$3:$L$14,0)))</f>
        <v/>
      </c>
      <c r="E27" s="17" t="inlineStr">
        <is>
          <t>РАБОТА</t>
        </is>
      </c>
      <c r="G27" s="46">
        <f>SUMPRODUCT(($G$4:$G$23="Работа")*(YEAR($C$4:$C$23+0)=$L$2)*(MONTH($C$4:$C$23+0)=MATCH($J$2,Справочник!$L$3:$L$14,0)))</f>
        <v/>
      </c>
      <c r="I27" s="33" t="inlineStr">
        <is>
          <t>Средний</t>
        </is>
      </c>
      <c r="J27" s="33">
        <f>SUMPRODUCT(($E$4:$E$23="Средний")*(YEAR($C$4:$C$23+0)=$L$2)*(MONTH($C$4:$C$23+0)=MATCH($J$2,Справочник!$L$3:$L$14,0)))</f>
        <v/>
      </c>
      <c r="L27" s="47" t="inlineStr">
        <is>
          <t>ДЕДЛАЙН СЕГОДНЯ</t>
        </is>
      </c>
      <c r="M27" s="48">
        <f>COUNTIF($C$4:$C$23,TODAY())</f>
        <v/>
      </c>
      <c r="N27" s="33" t="inlineStr">
        <is>
          <t>Другое</t>
        </is>
      </c>
      <c r="O27" s="33">
        <f>SUMPRODUCT(($G$4:$G$23="Другое")*(YEAR($C$4:$C$23+0)=$L$2)*(MONTH($C$4:$C$23+0)=MATCH($J$2,Справочник!$L$3:$L$14,0)))</f>
        <v/>
      </c>
    </row>
    <row r="28">
      <c r="B28" s="54" t="inlineStr">
        <is>
          <t>НИЗКИЙ ПРИОРИТЕТ</t>
        </is>
      </c>
      <c r="C28" s="55">
        <f>SUMPRODUCT(($E$4:$E$23="Низкий")*(YEAR($C$4:$C$23+0)=$L$2)*(MONTH($C$4:$C$23+0)=MATCH($J$2,Справочник!$L$3:$L$14,0)))</f>
        <v/>
      </c>
      <c r="E28" s="17" t="inlineStr">
        <is>
          <t>ДРУГИЕ</t>
        </is>
      </c>
      <c r="G28" s="46">
        <f>SUMPRODUCT(($G$4:$G$23="Другое")*(YEAR($C$4:$C$23+0)=$L$2)*(MONTH($C$4:$C$23+0)=MATCH($J$2,Справочник!$L$3:$L$14,0)))</f>
        <v/>
      </c>
      <c r="I28" s="33" t="inlineStr">
        <is>
          <t>Низкий</t>
        </is>
      </c>
      <c r="J28" s="33">
        <f>SUMPRODUCT(($E$4:$E$23="Низкий")*(YEAR($C$4:$C$23+0)=$L$2)*(MONTH($C$4:$C$23+0)=MATCH($J$2,Справочник!$L$3:$L$14,0)))</f>
        <v/>
      </c>
      <c r="L28" s="47" t="inlineStr">
        <is>
          <t>ПРОСРОЧЕННЫЕ ЗАДАЧИ</t>
        </is>
      </c>
      <c r="M28" s="48">
        <f>COUNTIFS($C$4:$C$23,"&lt;"&amp;TODAY(),$F$4:$F$23,FALSE)</f>
        <v/>
      </c>
    </row>
    <row r="30">
      <c r="B30" s="3" t="inlineStr">
        <is>
          <t>Выделение задач:</t>
        </is>
      </c>
      <c r="C30" s="56" t="inlineStr">
        <is>
          <t>(Все)</t>
        </is>
      </c>
    </row>
    <row r="47">
      <c r="B47" s="57" t="inlineStr">
        <is>
          <t>СРОЧНЫЕ</t>
        </is>
      </c>
      <c r="C47" s="58" t="n"/>
      <c r="D47" s="58" t="n"/>
      <c r="E47" s="58" t="n"/>
      <c r="G47" s="59" t="inlineStr">
        <is>
          <t>ВЫСОКИЙ ПРИОРИТЕТ</t>
        </is>
      </c>
      <c r="H47" s="10" t="n"/>
      <c r="I47" s="10" t="n"/>
      <c r="J47" s="10" t="n"/>
    </row>
    <row r="48">
      <c r="B48" s="17" t="inlineStr">
        <is>
          <t>Задача</t>
        </is>
      </c>
      <c r="C48" s="17" t="inlineStr">
        <is>
          <t>Срок</t>
        </is>
      </c>
      <c r="D48" s="17" t="inlineStr">
        <is>
          <t>Дни</t>
        </is>
      </c>
      <c r="E48" s="17" t="inlineStr">
        <is>
          <t>Тип</t>
        </is>
      </c>
      <c r="G48" s="17" t="inlineStr">
        <is>
          <t>Задача</t>
        </is>
      </c>
      <c r="H48" s="17" t="inlineStr">
        <is>
          <t>Срок</t>
        </is>
      </c>
      <c r="I48" s="17" t="inlineStr">
        <is>
          <t>Дни</t>
        </is>
      </c>
      <c r="J48" s="17" t="inlineStr">
        <is>
          <t>Тип</t>
        </is>
      </c>
    </row>
    <row r="49">
      <c r="B49" s="18">
        <f>IFERROR(FILTER($B$4:$B$23,($E$4:$E$23="Срочно")*(YEAR($C$4:$C$23+0)=$L$2)*(MONTH($C$4:$C$23+0)=MATCH($J$2,Справочник!$L$3:$L$14,0))),"")</f>
        <v/>
      </c>
      <c r="C49" s="18">
        <f>IFERROR(FILTER($C$4:$C$23,($E$4:$E$23="Срочно")*(YEAR($C$4:$C$23+0)=$L$2)*(MONTH($C$4:$C$23+0)=MATCH($J$2,Справочник!$L$3:$L$14,0))),"")</f>
        <v/>
      </c>
      <c r="D49" s="18">
        <f>IFERROR(FILTER($D$4:$D$23,($E$4:$E$23="Срочно")*(YEAR($C$4:$C$23+0)=$L$2)*(MONTH($C$4:$C$23+0)=MATCH($J$2,Справочник!$L$3:$L$14,0))),"")</f>
        <v/>
      </c>
      <c r="E49" s="18">
        <f>IFERROR(FILTER($G$4:$G$23,($E$4:$E$23="Срочно")*(YEAR($C$4:$C$23+0)=$L$2)*(MONTH($C$4:$C$23+0)=MATCH($J$2,Справочник!$L$3:$L$14,0))),"")</f>
        <v/>
      </c>
      <c r="G49" s="18">
        <f>IFERROR(FILTER($B$4:$B$23,($E$4:$E$23="Высокий")*(YEAR($C$4:$C$23+0)=$L$2)*(MONTH($C$4:$C$23+0)=MATCH($J$2,Справочник!$L$3:$L$14,0))),"")</f>
        <v/>
      </c>
      <c r="H49" s="18">
        <f>IFERROR(FILTER($C$4:$C$23,($E$4:$E$23="Высокий")*(YEAR($C$4:$C$23+0)=$L$2)*(MONTH($C$4:$C$23+0)=MATCH($J$2,Справочник!$L$3:$L$14,0))),"")</f>
        <v/>
      </c>
      <c r="I49" s="18">
        <f>IFERROR(FILTER($D$4:$D$23,($E$4:$E$23="Высокий")*(YEAR($C$4:$C$23+0)=$L$2)*(MONTH($C$4:$C$23+0)=MATCH($J$2,Справочник!$L$3:$L$14,0))),"")</f>
        <v/>
      </c>
      <c r="J49" s="18">
        <f>IFERROR(FILTER($G$4:$G$23,($E$4:$E$23="Высокий")*(YEAR($C$4:$C$23+0)=$L$2)*(MONTH($C$4:$C$23+0)=MATCH($J$2,Справочник!$L$3:$L$14,0))),"")</f>
        <v/>
      </c>
    </row>
    <row r="50">
      <c r="B50" s="12" t="n"/>
      <c r="C50" s="12" t="n"/>
      <c r="D50" s="12" t="n"/>
      <c r="E50" s="12" t="n"/>
      <c r="G50" s="12" t="n"/>
      <c r="H50" s="12" t="n"/>
      <c r="I50" s="12" t="n"/>
      <c r="J50" s="12" t="n"/>
    </row>
    <row r="51">
      <c r="B51" s="12" t="n"/>
      <c r="C51" s="12" t="n"/>
      <c r="D51" s="12" t="n"/>
      <c r="E51" s="12" t="n"/>
      <c r="G51" s="12" t="n"/>
      <c r="H51" s="12" t="n"/>
      <c r="I51" s="12" t="n"/>
      <c r="J51" s="12" t="n"/>
    </row>
    <row r="52">
      <c r="B52" s="12" t="n"/>
      <c r="C52" s="12" t="n"/>
      <c r="D52" s="12" t="n"/>
      <c r="E52" s="12" t="n"/>
      <c r="G52" s="12" t="n"/>
      <c r="H52" s="12" t="n"/>
      <c r="I52" s="12" t="n"/>
      <c r="J52" s="12" t="n"/>
    </row>
    <row r="55">
      <c r="B55" s="60" t="inlineStr">
        <is>
          <t>СРЕДНИЙ ПРИОРИТЕТ</t>
        </is>
      </c>
      <c r="C55" s="14" t="n"/>
      <c r="D55" s="14" t="n"/>
      <c r="E55" s="14" t="n"/>
      <c r="G55" s="61" t="inlineStr">
        <is>
          <t>НИЗКИЙ ПРИОРИТЕТ</t>
        </is>
      </c>
      <c r="H55" s="6" t="n"/>
      <c r="I55" s="6" t="n"/>
      <c r="J55" s="6" t="n"/>
    </row>
    <row r="56">
      <c r="B56" s="62" t="inlineStr">
        <is>
          <t>Задача</t>
        </is>
      </c>
      <c r="C56" s="62" t="inlineStr">
        <is>
          <t>Срок</t>
        </is>
      </c>
      <c r="D56" s="62" t="inlineStr">
        <is>
          <t>Дни</t>
        </is>
      </c>
      <c r="E56" s="62" t="inlineStr">
        <is>
          <t>Тип</t>
        </is>
      </c>
      <c r="G56" s="17" t="inlineStr">
        <is>
          <t>Задача</t>
        </is>
      </c>
      <c r="H56" s="17" t="inlineStr">
        <is>
          <t>Срок</t>
        </is>
      </c>
      <c r="I56" s="17" t="inlineStr">
        <is>
          <t>Дни</t>
        </is>
      </c>
      <c r="J56" s="17" t="inlineStr">
        <is>
          <t>Тип</t>
        </is>
      </c>
    </row>
    <row r="57">
      <c r="B57" s="18">
        <f>IFERROR(FILTER($B$4:$B$23,($E$4:$E$23="Средний")*(YEAR($C$4:$C$23+0)=$L$2)*(MONTH($C$4:$C$23+0)=MATCH($J$2,Справочник!$L$3:$L$14,0))),"")</f>
        <v/>
      </c>
      <c r="C57" s="18">
        <f>IFERROR(FILTER($C$4:$C$23,($E$4:$E$23="Средний")*(YEAR($C$4:$C$23+0)=$L$2)*(MONTH($C$4:$C$23+0)=MATCH($J$2,Справочник!$L$3:$L$14,0))),"")</f>
        <v/>
      </c>
      <c r="D57" s="18">
        <f>IFERROR(FILTER($D$4:$D$23,($E$4:$E$23="Средний")*(YEAR($C$4:$C$23+0)=$L$2)*(MONTH($C$4:$C$23+0)=MATCH($J$2,Справочник!$L$3:$L$14,0))),"")</f>
        <v/>
      </c>
      <c r="E57" s="18">
        <f>IFERROR(FILTER($G$4:$G$23,($E$4:$E$23="Средний")*(YEAR($C$4:$C$23+0)=$L$2)*(MONTH($C$4:$C$23+0)=MATCH($J$2,Справочник!$L$3:$L$14,0))),"")</f>
        <v/>
      </c>
      <c r="G57" s="18">
        <f>IFERROR(FILTER($B$4:$B$23,($E$4:$E$23="Низкий")*(YEAR($C$4:$C$23+0)=$L$2)*(MONTH($C$4:$C$23+0)=MATCH($J$2,Справочник!$L$3:$L$14,0))),"")</f>
        <v/>
      </c>
      <c r="H57" s="18">
        <f>IFERROR(FILTER($C$4:$C$23,($E$4:$E$23="Низкий")*(YEAR($C$4:$C$23+0)=$L$2)*(MONTH($C$4:$C$23+0)=MATCH($J$2,Справочник!$L$3:$L$14,0))),"")</f>
        <v/>
      </c>
      <c r="I57" s="18">
        <f>IFERROR(FILTER($D$4:$D$23,($E$4:$E$23="Низкий")*(YEAR($C$4:$C$23+0)=$L$2)*(MONTH($C$4:$C$23+0)=MATCH($J$2,Справочник!$L$3:$L$14,0))),"")</f>
        <v/>
      </c>
      <c r="J57" s="18">
        <f>IFERROR(FILTER($G$4:$G$23,($E$4:$E$23="Низкий")*(YEAR($C$4:$C$23+0)=$L$2)*(MONTH($C$4:$C$23+0)=MATCH($J$2,Справочник!$L$3:$L$14,0))),"")</f>
        <v/>
      </c>
    </row>
    <row r="58">
      <c r="B58" s="12" t="n"/>
      <c r="C58" s="12" t="n"/>
      <c r="D58" s="12" t="n"/>
      <c r="E58" s="12" t="n"/>
      <c r="G58" s="12" t="n"/>
      <c r="H58" s="12" t="n"/>
      <c r="I58" s="12" t="n"/>
      <c r="J58" s="12" t="n"/>
    </row>
    <row r="59">
      <c r="B59" s="12" t="n"/>
      <c r="C59" s="12" t="n"/>
      <c r="D59" s="12" t="n"/>
      <c r="E59" s="12" t="n"/>
      <c r="G59" s="12" t="n"/>
      <c r="H59" s="12" t="n"/>
      <c r="I59" s="12" t="n"/>
      <c r="J59" s="12" t="n"/>
    </row>
    <row r="60">
      <c r="B60" s="12" t="n"/>
      <c r="C60" s="12" t="n"/>
      <c r="D60" s="12" t="n"/>
      <c r="E60" s="12" t="n"/>
      <c r="G60" s="12" t="n"/>
      <c r="H60" s="12" t="n"/>
      <c r="I60" s="12" t="n"/>
      <c r="J60" s="12" t="n"/>
    </row>
  </sheetData>
  <mergeCells count="9">
    <mergeCell ref="A1:G1"/>
    <mergeCell ref="E25:F25"/>
    <mergeCell ref="G55:J55"/>
    <mergeCell ref="E27:F27"/>
    <mergeCell ref="E28:F28"/>
    <mergeCell ref="G47:J47"/>
    <mergeCell ref="B55:E55"/>
    <mergeCell ref="B47:E47"/>
    <mergeCell ref="E26:F26"/>
  </mergeCells>
  <conditionalFormatting sqref="E4:E23">
    <cfRule type="expression" priority="1" dxfId="3">
      <formula>E4="Срочно"</formula>
    </cfRule>
    <cfRule type="expression" priority="2" dxfId="4">
      <formula>E4="Высокий"</formula>
    </cfRule>
    <cfRule type="expression" priority="3" dxfId="5">
      <formula>E4="Средний"</formula>
    </cfRule>
    <cfRule type="expression" priority="4" dxfId="1">
      <formula>E4="Низкий"</formula>
    </cfRule>
  </conditionalFormatting>
  <conditionalFormatting sqref="B4:G23">
    <cfRule type="expression" priority="5" dxfId="6">
      <formula>$F4=TRUE</formula>
    </cfRule>
    <cfRule type="expression" priority="7" dxfId="7">
      <formula>AND($C$30&lt;&gt;"(Все)",$G4=$C$30)</formula>
    </cfRule>
  </conditionalFormatting>
  <conditionalFormatting sqref="D4:D23">
    <cfRule type="cellIs" priority="6" operator="lessThan" dxfId="8">
      <formula>0</formula>
    </cfRule>
  </conditionalFormatting>
  <conditionalFormatting sqref="M28">
    <cfRule type="cellIs" priority="8" operator="greaterThan" dxfId="9">
      <formula>0</formula>
    </cfRule>
  </conditionalFormatting>
  <dataValidations count="6">
    <dataValidation sqref="J2" showDropDown="0" showInputMessage="0" showErrorMessage="0" allowBlank="1" type="list">
      <formula1>=Справочник!$L$3:$L$14</formula1>
    </dataValidation>
    <dataValidation sqref="L2" showDropDown="0" showInputMessage="0" showErrorMessage="0" allowBlank="1" type="list">
      <formula1>=Справочник!$M$3:$M$12</formula1>
    </dataValidation>
    <dataValidation sqref="E4:E23" showDropDown="0" showInputMessage="0" showErrorMessage="0" allowBlank="1" type="list">
      <formula1>=Справочник!$E$3:$E$6</formula1>
    </dataValidation>
    <dataValidation sqref="G4:G23" showDropDown="0" showInputMessage="0" showErrorMessage="0" allowBlank="1" type="list">
      <formula1>=Справочник!$D$3:$D$5</formula1>
    </dataValidation>
    <dataValidation sqref="F4:F23" showDropDown="0" showInputMessage="0" showErrorMessage="0" allowBlank="1" type="list">
      <formula1>"TRUE,FALSE"</formula1>
    </dataValidation>
    <dataValidation sqref="C30" showDropDown="0" showInputMessage="0" showErrorMessage="0" allowBlank="1" type="list">
      <formula1>"(Все),Работа,Личное,Другое"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9A6D6"/>
    <outlinePr summaryBelow="1" summaryRight="1"/>
    <pageSetUpPr/>
  </sheetPr>
  <dimension ref="A1:M2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4" customWidth="1" min="3" max="3"/>
    <col width="16" customWidth="1" min="4" max="4"/>
    <col width="18" customWidth="1" min="5" max="5"/>
    <col width="14" customWidth="1" min="6" max="6"/>
    <col width="16" customWidth="1" min="7" max="7"/>
    <col width="24" customWidth="1" min="8" max="8"/>
    <col width="26" customWidth="1" min="10" max="10"/>
    <col width="20" customWidth="1" min="11" max="11"/>
    <col width="12" customWidth="1" min="12" max="12"/>
    <col width="10" customWidth="1" min="13" max="13"/>
  </cols>
  <sheetData>
    <row r="1" ht="26" customHeight="1">
      <c r="A1" s="26" t="inlineStr">
        <is>
          <t>СПРАВОЧНИК КАТЕГОРИЙ И СПИСКОВ</t>
        </is>
      </c>
      <c r="B1" s="27" t="n"/>
      <c r="C1" s="27" t="n"/>
      <c r="D1" s="27" t="n"/>
      <c r="E1" s="27" t="n"/>
      <c r="F1" s="27" t="n"/>
      <c r="G1" s="27" t="n"/>
      <c r="H1" s="27" t="n"/>
    </row>
    <row r="2">
      <c r="A2" s="63" t="inlineStr">
        <is>
          <t>Категории доходов</t>
        </is>
      </c>
      <c r="B2" s="63" t="inlineStr">
        <is>
          <t>Категории расходов</t>
        </is>
      </c>
      <c r="C2" s="63" t="inlineStr">
        <is>
          <t>Служебные (переводы/долг/инвест.)</t>
        </is>
      </c>
      <c r="D2" s="63" t="inlineStr">
        <is>
          <t>Категории задач</t>
        </is>
      </c>
      <c r="E2" s="63" t="inlineStr">
        <is>
          <t>Приоритет</t>
        </is>
      </c>
      <c r="F2" s="63" t="inlineStr">
        <is>
          <t>Статус задачи</t>
        </is>
      </c>
      <c r="J2" s="3" t="inlineStr">
        <is>
          <t>Все категории (для выпадающего списка)</t>
        </is>
      </c>
      <c r="K2" s="64" t="inlineStr">
        <is>
          <t>Счета / способы оплаты</t>
        </is>
      </c>
      <c r="L2" s="64" t="inlineStr">
        <is>
          <t>Месяцы</t>
        </is>
      </c>
      <c r="M2" s="64" t="inlineStr">
        <is>
          <t>Годы</t>
        </is>
      </c>
    </row>
    <row r="3">
      <c r="A3" s="18" t="inlineStr">
        <is>
          <t>Зарплата</t>
        </is>
      </c>
      <c r="B3" s="18" t="inlineStr">
        <is>
          <t>Аренда</t>
        </is>
      </c>
      <c r="C3" s="18" t="inlineStr">
        <is>
          <t>Взял в долг</t>
        </is>
      </c>
      <c r="D3" s="18" t="inlineStr">
        <is>
          <t>Работа</t>
        </is>
      </c>
      <c r="E3" s="18" t="inlineStr">
        <is>
          <t>Срочно</t>
        </is>
      </c>
      <c r="F3" s="18" t="inlineStr">
        <is>
          <t>Не начато</t>
        </is>
      </c>
      <c r="J3" s="33" t="inlineStr">
        <is>
          <t>Зарплата</t>
        </is>
      </c>
      <c r="K3" s="33" t="inlineStr">
        <is>
          <t>Наличные</t>
        </is>
      </c>
      <c r="L3" s="33" t="inlineStr">
        <is>
          <t>Январь</t>
        </is>
      </c>
      <c r="M3" s="33" t="n">
        <v>2023</v>
      </c>
    </row>
    <row r="4">
      <c r="A4" s="18" t="inlineStr">
        <is>
          <t>Заказы</t>
        </is>
      </c>
      <c r="B4" s="18" t="inlineStr">
        <is>
          <t>Продукты</t>
        </is>
      </c>
      <c r="C4" s="18" t="inlineStr">
        <is>
          <t>Вернул долг</t>
        </is>
      </c>
      <c r="D4" s="18" t="inlineStr">
        <is>
          <t>Личное</t>
        </is>
      </c>
      <c r="E4" s="18" t="inlineStr">
        <is>
          <t>Высокий</t>
        </is>
      </c>
      <c r="F4" s="18" t="inlineStr">
        <is>
          <t>В процессе</t>
        </is>
      </c>
      <c r="J4" s="33" t="inlineStr">
        <is>
          <t>Заказы</t>
        </is>
      </c>
      <c r="K4" s="33" t="inlineStr">
        <is>
          <t>Карта Сбербанк</t>
        </is>
      </c>
      <c r="L4" s="33" t="inlineStr">
        <is>
          <t>Февраль</t>
        </is>
      </c>
      <c r="M4" s="33" t="n">
        <v>2024</v>
      </c>
    </row>
    <row r="5">
      <c r="A5" s="18" t="inlineStr">
        <is>
          <t>Подарок</t>
        </is>
      </c>
      <c r="B5" s="18" t="inlineStr">
        <is>
          <t>Обучение</t>
        </is>
      </c>
      <c r="C5" s="18" t="inlineStr">
        <is>
          <t>Дал в долг</t>
        </is>
      </c>
      <c r="D5" s="18" t="inlineStr">
        <is>
          <t>Другое</t>
        </is>
      </c>
      <c r="E5" s="18" t="inlineStr">
        <is>
          <t>Средний</t>
        </is>
      </c>
      <c r="F5" s="18" t="inlineStr">
        <is>
          <t>Готово</t>
        </is>
      </c>
      <c r="J5" s="33" t="inlineStr">
        <is>
          <t>Подарок</t>
        </is>
      </c>
      <c r="K5" s="33" t="inlineStr">
        <is>
          <t>Карта Тинькофф</t>
        </is>
      </c>
      <c r="L5" s="33" t="inlineStr">
        <is>
          <t>Март</t>
        </is>
      </c>
      <c r="M5" s="33" t="n">
        <v>2025</v>
      </c>
    </row>
    <row r="6">
      <c r="B6" s="18" t="inlineStr">
        <is>
          <t>Кредит</t>
        </is>
      </c>
      <c r="C6" s="18" t="inlineStr">
        <is>
          <t>Вернули долг</t>
        </is>
      </c>
      <c r="E6" s="18" t="inlineStr">
        <is>
          <t>Низкий</t>
        </is>
      </c>
      <c r="J6" s="33" t="inlineStr">
        <is>
          <t>Аренда</t>
        </is>
      </c>
      <c r="K6" s="33" t="inlineStr">
        <is>
          <t>Вклад</t>
        </is>
      </c>
      <c r="L6" s="33" t="inlineStr">
        <is>
          <t>Апрель</t>
        </is>
      </c>
      <c r="M6" s="33" t="n">
        <v>2026</v>
      </c>
    </row>
    <row r="7">
      <c r="B7" s="18" t="inlineStr">
        <is>
          <t>Субподряд</t>
        </is>
      </c>
      <c r="C7" s="18" t="inlineStr">
        <is>
          <t>Пополнение вклада</t>
        </is>
      </c>
      <c r="J7" s="33" t="inlineStr">
        <is>
          <t>Продукты</t>
        </is>
      </c>
      <c r="K7" s="33" t="inlineStr">
        <is>
          <t>Кредит 1</t>
        </is>
      </c>
      <c r="L7" s="33" t="inlineStr">
        <is>
          <t>Май</t>
        </is>
      </c>
      <c r="M7" s="33" t="n">
        <v>2027</v>
      </c>
    </row>
    <row r="8">
      <c r="B8" s="18" t="inlineStr">
        <is>
          <t>Ипотека</t>
        </is>
      </c>
      <c r="C8" s="18" t="inlineStr">
        <is>
          <t>Снятие со вклада</t>
        </is>
      </c>
      <c r="J8" s="33" t="inlineStr">
        <is>
          <t>Обучение</t>
        </is>
      </c>
      <c r="K8" s="33" t="inlineStr">
        <is>
          <t>Кредит 2</t>
        </is>
      </c>
      <c r="L8" s="33" t="inlineStr">
        <is>
          <t>Июнь</t>
        </is>
      </c>
      <c r="M8" s="33" t="n">
        <v>2028</v>
      </c>
    </row>
    <row r="9">
      <c r="B9" s="18" t="inlineStr">
        <is>
          <t>Подарок</t>
        </is>
      </c>
      <c r="C9" s="18" t="inlineStr">
        <is>
          <t>Инвестиции: пополнение</t>
        </is>
      </c>
      <c r="J9" s="33" t="inlineStr">
        <is>
          <t>Кредит</t>
        </is>
      </c>
      <c r="K9" s="33" t="inlineStr">
        <is>
          <t>Инвестиционный счёт</t>
        </is>
      </c>
      <c r="L9" s="33" t="inlineStr">
        <is>
          <t>Июль</t>
        </is>
      </c>
      <c r="M9" s="33" t="n">
        <v>2029</v>
      </c>
    </row>
    <row r="10">
      <c r="B10" s="18" t="inlineStr">
        <is>
          <t>Аутсорс</t>
        </is>
      </c>
      <c r="C10" s="18" t="inlineStr">
        <is>
          <t>Инвестиции: вывод</t>
        </is>
      </c>
      <c r="J10" s="33" t="inlineStr">
        <is>
          <t>Субподряд</t>
        </is>
      </c>
      <c r="L10" s="33" t="inlineStr">
        <is>
          <t>Август</t>
        </is>
      </c>
      <c r="M10" s="33" t="n">
        <v>2030</v>
      </c>
    </row>
    <row r="11">
      <c r="J11" s="33" t="inlineStr">
        <is>
          <t>Ипотека</t>
        </is>
      </c>
      <c r="K11" s="65" t="inlineStr">
        <is>
          <t>✏ Добавьте сюда свои карты, наличные, вклады, кредиты или инвестсчета — они появятся в выпадающем списке «Счёт» в Бюджете.</t>
        </is>
      </c>
      <c r="L11" s="33" t="inlineStr">
        <is>
          <t>Сентябрь</t>
        </is>
      </c>
      <c r="M11" s="33" t="n">
        <v>2031</v>
      </c>
    </row>
    <row r="12">
      <c r="C12" s="65" t="inlineStr">
        <is>
          <t>⚠ Эти категории — служебные (переводы между своими счетами, долги, инвестиции).
Они не считаются доходом/расходом в сводке за месяц, но участвуют в остатках по счетам.
Не изменяйте и не удаляйте их, если хотите корректный учёт.</t>
        </is>
      </c>
      <c r="J12" s="33" t="inlineStr">
        <is>
          <t>Аутсорс</t>
        </is>
      </c>
      <c r="L12" s="33" t="inlineStr">
        <is>
          <t>Октябрь</t>
        </is>
      </c>
      <c r="M12" s="33" t="n">
        <v>2032</v>
      </c>
    </row>
    <row r="13">
      <c r="J13" s="33" t="inlineStr">
        <is>
          <t>Взял в долг</t>
        </is>
      </c>
      <c r="L13" s="33" t="inlineStr">
        <is>
          <t>Ноябрь</t>
        </is>
      </c>
    </row>
    <row r="14">
      <c r="J14" s="33" t="inlineStr">
        <is>
          <t>Вернул долг</t>
        </is>
      </c>
      <c r="L14" s="33" t="inlineStr">
        <is>
          <t>Декабрь</t>
        </is>
      </c>
    </row>
    <row r="15">
      <c r="J15" s="33" t="inlineStr">
        <is>
          <t>Дал в долг</t>
        </is>
      </c>
    </row>
    <row r="16">
      <c r="J16" s="33" t="inlineStr">
        <is>
          <t>Вернули долг</t>
        </is>
      </c>
    </row>
    <row r="17">
      <c r="J17" s="33" t="inlineStr">
        <is>
          <t>Пополнение вклада</t>
        </is>
      </c>
    </row>
    <row r="18">
      <c r="J18" s="33" t="inlineStr">
        <is>
          <t>Снятие со вклада</t>
        </is>
      </c>
    </row>
    <row r="19">
      <c r="J19" s="33" t="inlineStr">
        <is>
          <t>Инвестиции: пополнение</t>
        </is>
      </c>
    </row>
    <row r="20">
      <c r="J20" s="33" t="inlineStr">
        <is>
          <t>Инвестиции: вывод</t>
        </is>
      </c>
    </row>
  </sheetData>
  <mergeCells count="3">
    <mergeCell ref="K11:K13"/>
    <mergeCell ref="C12:C15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2026-07-06T12:29:05Z</dcterms:created>
  <dcterms:modified xsi:type="dcterms:W3CDTF">2026-07-06T12:29:05Z</dcterms:modified>
</cp:coreProperties>
</file>