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Трекер привычек" sheetId="2" state="visible" r:id="rId2"/>
    <sheet name="Планировщик задач" sheetId="3" state="visible" r:id="rId3"/>
    <sheet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,##0&quot; ₽&quot;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6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AD98A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0" borderId="0" pivotButton="0" quotePrefix="0" xfId="0"/>
    <xf numFmtId="0" fontId="3" fillId="0" borderId="1" pivotButton="0" quotePrefix="0" xfId="0"/>
    <xf numFmtId="166" fontId="8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0" pivotButton="0" quotePrefix="0" xfId="0"/>
    <xf numFmtId="166" fontId="8" fillId="13" borderId="0" pivotButton="0" quotePrefix="0" xfId="0"/>
    <xf numFmtId="0" fontId="4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9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165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2" fillId="10" borderId="1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F6EBC0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Категории доходов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'Бюджет'!$D$28:$D$30</f>
            </numRef>
          </cat>
          <val>
            <numRef>
              <f>'Бюджет'!$E$28:$E$30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Категории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'Бюджет'!$H$28:$H$35</f>
            </numRef>
          </cat>
          <val>
            <numRef>
              <f>'Бюджет'!$I$28:$I$35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Динамика: доход / расход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'Бюджет'!M27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'Бюджет'!$L$28:$L$39</f>
            </numRef>
          </cat>
          <val>
            <numRef>
              <f>'Бюджет'!$M$28:$M$39</f>
            </numRef>
          </val>
        </ser>
        <ser>
          <idx val="1"/>
          <order val="1"/>
          <tx>
            <strRef>
              <f>'Бюджет'!N27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'Бюджет'!$L$28:$L$39</f>
            </numRef>
          </cat>
          <val>
            <numRef>
              <f>'Бюджет'!$N$28:$N$39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Соотношение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'Бюджет'!$Q$4:$Q$5</f>
            </numRef>
          </cat>
          <val>
            <numRef>
              <f>'Бюджет'!$R$4:$R$5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 месяцам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'Бюджет'!M27</f>
            </strRef>
          </tx>
          <spPr>
            <a:ln>
              <a:prstDash val="solid"/>
            </a:ln>
          </spPr>
          <cat>
            <numRef>
              <f>'Бюджет'!$L$28:$L$39</f>
            </numRef>
          </cat>
          <val>
            <numRef>
              <f>'Бюджет'!$M$28:$M$39</f>
            </numRef>
          </val>
        </ser>
        <ser>
          <idx val="1"/>
          <order val="1"/>
          <tx>
            <strRef>
              <f>'Бюджет'!N27</f>
            </strRef>
          </tx>
          <spPr>
            <a:ln>
              <a:prstDash val="solid"/>
            </a:ln>
          </spPr>
          <cat>
            <numRef>
              <f>'Бюджет'!$L$28:$L$39</f>
            </numRef>
          </cat>
          <val>
            <numRef>
              <f>'Бюджет'!$N$28:$N$39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задач'!$I$17:$I$20</f>
            </numRef>
          </cat>
          <val>
            <numRef>
              <f>'Планировщик задач'!$J$17:$J$20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задач'!$N$17:$N$19</f>
            </numRef>
          </cat>
          <val>
            <numRef>
              <f>'Планировщик задач'!$O$17:$O$19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8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8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40</row>
      <rowOff>0</rowOff>
    </from>
    <ext cx="36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40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22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R259"/>
  <sheetViews>
    <sheetView showGridLines="0" workbookViewId="0">
      <pane xSplit="1" ySplit="59" topLeftCell="B6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16" customWidth="1" min="4" max="4"/>
    <col width="20" customWidth="1" min="5" max="5"/>
    <col width="12" customWidth="1" min="6" max="6"/>
    <col width="3" customWidth="1" min="7" max="7"/>
    <col width="16" customWidth="1" min="8" max="8"/>
    <col width="12" customWidth="1" min="9" max="9"/>
    <col width="8" customWidth="1" min="10" max="10"/>
    <col width="12" customWidth="1" min="11" max="11"/>
    <col width="16" customWidth="1" min="12" max="12"/>
    <col width="12" customWidth="1" min="13" max="13"/>
    <col width="12" customWidth="1" min="14" max="14"/>
    <col width="12" customWidth="1" min="15" max="15"/>
    <col width="10" customWidth="1" min="16" max="16"/>
    <col width="10" customWidth="1" min="17" max="17"/>
    <col width="10" customWidth="1" min="18" max="18"/>
    <col width="3" customWidth="1" min="19" max="19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B3" s="3" t="inlineStr">
        <is>
          <t>ДОЛГИ</t>
        </is>
      </c>
      <c r="C3" s="4" t="n"/>
      <c r="E3" s="5" t="inlineStr">
        <is>
          <t>ВКЛАД</t>
        </is>
      </c>
      <c r="F3" s="6" t="n"/>
      <c r="H3" s="7" t="inlineStr">
        <is>
          <t>ДОХОД</t>
        </is>
      </c>
      <c r="I3" s="8" t="n"/>
      <c r="K3" s="9" t="inlineStr">
        <is>
          <t>РАСХОД</t>
        </is>
      </c>
      <c r="L3" s="10" t="n"/>
      <c r="N3" s="11" t="inlineStr">
        <is>
          <t>ДОХОД − РАСХОД</t>
        </is>
      </c>
      <c r="O3" s="12" t="n"/>
      <c r="Q3" s="13" t="inlineStr">
        <is>
          <t>Соотношение</t>
        </is>
      </c>
    </row>
    <row r="4">
      <c r="B4" s="14" t="inlineStr">
        <is>
          <t>Мой долг (нетто)</t>
        </is>
      </c>
      <c r="C4" s="15">
        <f>MAX(SUMIFS($E$60:$E$259,$C$60:$C$259,"Долг",$D$60:$D$259,"Взял в долг")-SUMIFS($E$60:$E$259,$C$60:$C$259,"Долг",$D$60:$D$259,"Вернул долг"),0)</f>
        <v/>
      </c>
      <c r="E4" s="14" t="inlineStr">
        <is>
          <t>Пополнение вклада</t>
        </is>
      </c>
      <c r="F4" s="15">
        <f>SUMIFS($E$60:$E$259,$C$60:$C$259,"Накопление",$D$60:$D$259,"Пополнение вклада")</f>
        <v/>
      </c>
      <c r="H4" s="16">
        <f>SUMIFS($E$60:$E$259,$C$60:$C$259,"Доход")</f>
        <v/>
      </c>
      <c r="I4" s="17" t="n"/>
      <c r="K4" s="16">
        <f>SUMIFS($E$60:$E$259,$C$60:$C$259,"Расход")</f>
        <v/>
      </c>
      <c r="L4" s="17" t="n"/>
      <c r="N4" s="16">
        <f>H4-K4</f>
        <v/>
      </c>
      <c r="O4" s="17" t="n"/>
      <c r="Q4" t="inlineStr">
        <is>
          <t>Доход</t>
        </is>
      </c>
      <c r="R4">
        <f>H4</f>
        <v/>
      </c>
    </row>
    <row r="5">
      <c r="B5" s="14" t="inlineStr">
        <is>
          <t>Мне должны (нетто)</t>
        </is>
      </c>
      <c r="C5" s="15">
        <f>MAX(SUMIFS($E$60:$E$259,$C$60:$C$259,"Долг",$D$60:$D$259,"Дал в долг")-SUMIFS($E$60:$E$259,$C$60:$C$259,"Долг",$D$60:$D$259,"Вернули долг"),0)</f>
        <v/>
      </c>
      <c r="E5" s="14" t="inlineStr">
        <is>
          <t>Снятие со вклада</t>
        </is>
      </c>
      <c r="F5" s="15">
        <f>SUMIFS($E$60:$E$259,$C$60:$C$259,"Накопление",$D$60:$D$259,"Снятие со вклада")</f>
        <v/>
      </c>
      <c r="H5" s="17" t="n"/>
      <c r="I5" s="17" t="n"/>
      <c r="K5" s="17" t="n"/>
      <c r="L5" s="17" t="n"/>
      <c r="N5" s="17" t="n"/>
      <c r="O5" s="17" t="n"/>
      <c r="Q5" t="inlineStr">
        <is>
          <t>Расход</t>
        </is>
      </c>
      <c r="R5">
        <f>K4</f>
        <v/>
      </c>
    </row>
    <row r="6">
      <c r="B6" s="18">
        <f>IF($C$4&gt;$C$5,"🔴 Ты должен больше, чем тебе должны","🟢 Тебе должны больше, чем ты")</f>
        <v/>
      </c>
      <c r="E6" s="13" t="inlineStr">
        <is>
          <t>На вкладе</t>
        </is>
      </c>
      <c r="F6" s="19">
        <f>F4-F5</f>
        <v/>
      </c>
      <c r="H6" s="17" t="n"/>
      <c r="I6" s="17" t="n"/>
      <c r="K6" s="17" t="n"/>
      <c r="L6" s="17" t="n"/>
      <c r="N6" s="17" t="n"/>
      <c r="O6" s="17" t="n"/>
    </row>
    <row r="7">
      <c r="E7" s="18">
        <f>IF($F$6&gt;=0,"🟡 Положительный баланс накоплений","🔴 Снятий больше, чем пополнений")</f>
        <v/>
      </c>
      <c r="H7" s="20">
        <f>"Операций: "&amp;COUNTIF($C$60:$C$259,"Доход")</f>
        <v/>
      </c>
      <c r="I7" s="17" t="n"/>
      <c r="K7" s="20">
        <f>"Операций: "&amp;COUNTIF($C$60:$C$259,"Расход")</f>
        <v/>
      </c>
      <c r="L7" s="17" t="n"/>
      <c r="N7" s="20">
        <f>IF($N$4&gt;=0,"✅ Доходы превышают расходы","⚠ Расходы превышают доходы")</f>
        <v/>
      </c>
      <c r="O7" s="17" t="n"/>
    </row>
    <row r="25">
      <c r="O25" s="13" t="inlineStr">
        <is>
          <t>Год:</t>
        </is>
      </c>
      <c r="P25" s="21" t="n">
        <v>2026</v>
      </c>
    </row>
    <row r="26">
      <c r="D26" s="7" t="inlineStr">
        <is>
          <t>ДОХОДЫ</t>
        </is>
      </c>
      <c r="E26" s="8" t="n"/>
      <c r="F26" s="8" t="n"/>
      <c r="H26" s="9" t="inlineStr">
        <is>
          <t>РАСХОДЫ</t>
        </is>
      </c>
      <c r="I26" s="10" t="n"/>
      <c r="J26" s="10" t="n"/>
      <c r="L26" s="3" t="inlineStr">
        <is>
          <t>ДИНАМИКА ЗА ГОД</t>
        </is>
      </c>
      <c r="M26" s="4" t="n"/>
      <c r="N26" s="4" t="n"/>
    </row>
    <row r="27">
      <c r="D27" s="22" t="inlineStr">
        <is>
          <t>Категория</t>
        </is>
      </c>
      <c r="E27" s="22" t="inlineStr">
        <is>
          <t>Сумма</t>
        </is>
      </c>
      <c r="F27" s="22" t="inlineStr">
        <is>
          <t>%</t>
        </is>
      </c>
      <c r="H27" s="23" t="inlineStr">
        <is>
          <t>Категория</t>
        </is>
      </c>
      <c r="I27" s="23" t="inlineStr">
        <is>
          <t>Сумма</t>
        </is>
      </c>
      <c r="J27" s="23" t="inlineStr">
        <is>
          <t>%</t>
        </is>
      </c>
      <c r="L27" s="24" t="inlineStr">
        <is>
          <t>Месяц</t>
        </is>
      </c>
      <c r="M27" s="24" t="inlineStr">
        <is>
          <t>Доход</t>
        </is>
      </c>
      <c r="N27" s="24" t="inlineStr">
        <is>
          <t>Расход</t>
        </is>
      </c>
    </row>
    <row r="28">
      <c r="D28" s="14" t="inlineStr">
        <is>
          <t>Зарплата</t>
        </is>
      </c>
      <c r="E28" s="14">
        <f>SUMIFS($E$60:$E$259,$C$60:$C$259,"Доход",$D$60:$D$259,"Зарплата")</f>
        <v/>
      </c>
      <c r="F28" s="25">
        <f>IFERROR(E28/$H$4,0)</f>
        <v/>
      </c>
      <c r="H28" s="14" t="inlineStr">
        <is>
          <t>Аренда</t>
        </is>
      </c>
      <c r="I28" s="14">
        <f>SUMIFS($E$60:$E$259,$C$60:$C$259,"Расход",$D$60:$D$259,"Аренда")</f>
        <v/>
      </c>
      <c r="J28" s="25">
        <f>IFERROR(I28/$K$4,0)</f>
        <v/>
      </c>
      <c r="L28" s="14">
        <f>TEXT(DATE($P$25,1,1),"mmm yy")</f>
        <v/>
      </c>
      <c r="M28" s="14">
        <f>SUMPRODUCT(($C$60:$C$259="Доход")*(YEAR($B$60:$B$259+0)=$P$25)*(MONTH($B$60:$B$259+0)=1)*$E$60:$E$259)</f>
        <v/>
      </c>
      <c r="N28" s="14">
        <f>SUMPRODUCT(($C$60:$C$259="Расход")*(YEAR($B$60:$B$259+0)=$P$25)*(MONTH($B$60:$B$259+0)=1)*$E$60:$E$259)</f>
        <v/>
      </c>
    </row>
    <row r="29">
      <c r="D29" s="14" t="inlineStr">
        <is>
          <t>Заказы</t>
        </is>
      </c>
      <c r="E29" s="14">
        <f>SUMIFS($E$60:$E$259,$C$60:$C$259,"Доход",$D$60:$D$259,"Заказы")</f>
        <v/>
      </c>
      <c r="F29" s="25">
        <f>IFERROR(E29/$H$4,0)</f>
        <v/>
      </c>
      <c r="H29" s="14" t="inlineStr">
        <is>
          <t>Продукты</t>
        </is>
      </c>
      <c r="I29" s="14">
        <f>SUMIFS($E$60:$E$259,$C$60:$C$259,"Расход",$D$60:$D$259,"Продукты")</f>
        <v/>
      </c>
      <c r="J29" s="25">
        <f>IFERROR(I29/$K$4,0)</f>
        <v/>
      </c>
      <c r="L29" s="14">
        <f>TEXT(DATE($P$25,2,1),"mmm yy")</f>
        <v/>
      </c>
      <c r="M29" s="14">
        <f>SUMPRODUCT(($C$60:$C$259="Доход")*(YEAR($B$60:$B$259+0)=$P$25)*(MONTH($B$60:$B$259+0)=2)*$E$60:$E$259)</f>
        <v/>
      </c>
      <c r="N29" s="14">
        <f>SUMPRODUCT(($C$60:$C$259="Расход")*(YEAR($B$60:$B$259+0)=$P$25)*(MONTH($B$60:$B$259+0)=2)*$E$60:$E$259)</f>
        <v/>
      </c>
    </row>
    <row r="30">
      <c r="D30" s="14" t="inlineStr">
        <is>
          <t>Подарок</t>
        </is>
      </c>
      <c r="E30" s="14">
        <f>SUMIFS($E$60:$E$259,$C$60:$C$259,"Доход",$D$60:$D$259,"Подарок")</f>
        <v/>
      </c>
      <c r="F30" s="25">
        <f>IFERROR(E30/$H$4,0)</f>
        <v/>
      </c>
      <c r="H30" s="14" t="inlineStr">
        <is>
          <t>Обучение</t>
        </is>
      </c>
      <c r="I30" s="14">
        <f>SUMIFS($E$60:$E$259,$C$60:$C$259,"Расход",$D$60:$D$259,"Обучение")</f>
        <v/>
      </c>
      <c r="J30" s="25">
        <f>IFERROR(I30/$K$4,0)</f>
        <v/>
      </c>
      <c r="L30" s="14">
        <f>TEXT(DATE($P$25,3,1),"mmm yy")</f>
        <v/>
      </c>
      <c r="M30" s="14">
        <f>SUMPRODUCT(($C$60:$C$259="Доход")*(YEAR($B$60:$B$259+0)=$P$25)*(MONTH($B$60:$B$259+0)=3)*$E$60:$E$259)</f>
        <v/>
      </c>
      <c r="N30" s="14">
        <f>SUMPRODUCT(($C$60:$C$259="Расход")*(YEAR($B$60:$B$259+0)=$P$25)*(MONTH($B$60:$B$259+0)=3)*$E$60:$E$259)</f>
        <v/>
      </c>
    </row>
    <row r="31">
      <c r="H31" s="14" t="inlineStr">
        <is>
          <t>Кредит</t>
        </is>
      </c>
      <c r="I31" s="14">
        <f>SUMIFS($E$60:$E$259,$C$60:$C$259,"Расход",$D$60:$D$259,"Кредит")</f>
        <v/>
      </c>
      <c r="J31" s="25">
        <f>IFERROR(I31/$K$4,0)</f>
        <v/>
      </c>
      <c r="L31" s="14">
        <f>TEXT(DATE($P$25,4,1),"mmm yy")</f>
        <v/>
      </c>
      <c r="M31" s="14">
        <f>SUMPRODUCT(($C$60:$C$259="Доход")*(YEAR($B$60:$B$259+0)=$P$25)*(MONTH($B$60:$B$259+0)=4)*$E$60:$E$259)</f>
        <v/>
      </c>
      <c r="N31" s="14">
        <f>SUMPRODUCT(($C$60:$C$259="Расход")*(YEAR($B$60:$B$259+0)=$P$25)*(MONTH($B$60:$B$259+0)=4)*$E$60:$E$259)</f>
        <v/>
      </c>
    </row>
    <row r="32">
      <c r="H32" s="14" t="inlineStr">
        <is>
          <t>Субподряд</t>
        </is>
      </c>
      <c r="I32" s="14">
        <f>SUMIFS($E$60:$E$259,$C$60:$C$259,"Расход",$D$60:$D$259,"Субподряд")</f>
        <v/>
      </c>
      <c r="J32" s="25">
        <f>IFERROR(I32/$K$4,0)</f>
        <v/>
      </c>
      <c r="L32" s="14">
        <f>TEXT(DATE($P$25,5,1),"mmm yy")</f>
        <v/>
      </c>
      <c r="M32" s="14">
        <f>SUMPRODUCT(($C$60:$C$259="Доход")*(YEAR($B$60:$B$259+0)=$P$25)*(MONTH($B$60:$B$259+0)=5)*$E$60:$E$259)</f>
        <v/>
      </c>
      <c r="N32" s="14">
        <f>SUMPRODUCT(($C$60:$C$259="Расход")*(YEAR($B$60:$B$259+0)=$P$25)*(MONTH($B$60:$B$259+0)=5)*$E$60:$E$259)</f>
        <v/>
      </c>
    </row>
    <row r="33">
      <c r="H33" s="14" t="inlineStr">
        <is>
          <t>Ипотека</t>
        </is>
      </c>
      <c r="I33" s="14">
        <f>SUMIFS($E$60:$E$259,$C$60:$C$259,"Расход",$D$60:$D$259,"Ипотека")</f>
        <v/>
      </c>
      <c r="J33" s="25">
        <f>IFERROR(I33/$K$4,0)</f>
        <v/>
      </c>
      <c r="L33" s="14">
        <f>TEXT(DATE($P$25,6,1),"mmm yy")</f>
        <v/>
      </c>
      <c r="M33" s="14">
        <f>SUMPRODUCT(($C$60:$C$259="Доход")*(YEAR($B$60:$B$259+0)=$P$25)*(MONTH($B$60:$B$259+0)=6)*$E$60:$E$259)</f>
        <v/>
      </c>
      <c r="N33" s="14">
        <f>SUMPRODUCT(($C$60:$C$259="Расход")*(YEAR($B$60:$B$259+0)=$P$25)*(MONTH($B$60:$B$259+0)=6)*$E$60:$E$259)</f>
        <v/>
      </c>
    </row>
    <row r="34">
      <c r="H34" s="14" t="inlineStr">
        <is>
          <t>Подарок</t>
        </is>
      </c>
      <c r="I34" s="14">
        <f>SUMIFS($E$60:$E$259,$C$60:$C$259,"Расход",$D$60:$D$259,"Подарок")</f>
        <v/>
      </c>
      <c r="J34" s="25">
        <f>IFERROR(I34/$K$4,0)</f>
        <v/>
      </c>
      <c r="L34" s="14">
        <f>TEXT(DATE($P$25,7,1),"mmm yy")</f>
        <v/>
      </c>
      <c r="M34" s="14">
        <f>SUMPRODUCT(($C$60:$C$259="Доход")*(YEAR($B$60:$B$259+0)=$P$25)*(MONTH($B$60:$B$259+0)=7)*$E$60:$E$259)</f>
        <v/>
      </c>
      <c r="N34" s="14">
        <f>SUMPRODUCT(($C$60:$C$259="Расход")*(YEAR($B$60:$B$259+0)=$P$25)*(MONTH($B$60:$B$259+0)=7)*$E$60:$E$259)</f>
        <v/>
      </c>
    </row>
    <row r="35">
      <c r="H35" s="14" t="inlineStr">
        <is>
          <t>Аутсорс</t>
        </is>
      </c>
      <c r="I35" s="14">
        <f>SUMIFS($E$60:$E$259,$C$60:$C$259,"Расход",$D$60:$D$259,"Аутсорс")</f>
        <v/>
      </c>
      <c r="J35" s="25">
        <f>IFERROR(I35/$K$4,0)</f>
        <v/>
      </c>
      <c r="L35" s="14">
        <f>TEXT(DATE($P$25,8,1),"mmm yy")</f>
        <v/>
      </c>
      <c r="M35" s="14">
        <f>SUMPRODUCT(($C$60:$C$259="Доход")*(YEAR($B$60:$B$259+0)=$P$25)*(MONTH($B$60:$B$259+0)=8)*$E$60:$E$259)</f>
        <v/>
      </c>
      <c r="N35" s="14">
        <f>SUMPRODUCT(($C$60:$C$259="Расход")*(YEAR($B$60:$B$259+0)=$P$25)*(MONTH($B$60:$B$259+0)=8)*$E$60:$E$259)</f>
        <v/>
      </c>
    </row>
    <row r="36">
      <c r="L36" s="14">
        <f>TEXT(DATE($P$25,9,1),"mmm yy")</f>
        <v/>
      </c>
      <c r="M36" s="14">
        <f>SUMPRODUCT(($C$60:$C$259="Доход")*(YEAR($B$60:$B$259+0)=$P$25)*(MONTH($B$60:$B$259+0)=9)*$E$60:$E$259)</f>
        <v/>
      </c>
      <c r="N36" s="14">
        <f>SUMPRODUCT(($C$60:$C$259="Расход")*(YEAR($B$60:$B$259+0)=$P$25)*(MONTH($B$60:$B$259+0)=9)*$E$60:$E$259)</f>
        <v/>
      </c>
    </row>
    <row r="37">
      <c r="L37" s="14">
        <f>TEXT(DATE($P$25,10,1),"mmm yy")</f>
        <v/>
      </c>
      <c r="M37" s="14">
        <f>SUMPRODUCT(($C$60:$C$259="Доход")*(YEAR($B$60:$B$259+0)=$P$25)*(MONTH($B$60:$B$259+0)=10)*$E$60:$E$259)</f>
        <v/>
      </c>
      <c r="N37" s="14">
        <f>SUMPRODUCT(($C$60:$C$259="Расход")*(YEAR($B$60:$B$259+0)=$P$25)*(MONTH($B$60:$B$259+0)=10)*$E$60:$E$259)</f>
        <v/>
      </c>
    </row>
    <row r="38">
      <c r="L38" s="14">
        <f>TEXT(DATE($P$25,11,1),"mmm yy")</f>
        <v/>
      </c>
      <c r="M38" s="14">
        <f>SUMPRODUCT(($C$60:$C$259="Доход")*(YEAR($B$60:$B$259+0)=$P$25)*(MONTH($B$60:$B$259+0)=11)*$E$60:$E$259)</f>
        <v/>
      </c>
      <c r="N38" s="14">
        <f>SUMPRODUCT(($C$60:$C$259="Расход")*(YEAR($B$60:$B$259+0)=$P$25)*(MONTH($B$60:$B$259+0)=11)*$E$60:$E$259)</f>
        <v/>
      </c>
    </row>
    <row r="39">
      <c r="L39" s="14">
        <f>TEXT(DATE($P$25,12,1),"mmm yy")</f>
        <v/>
      </c>
      <c r="M39" s="14">
        <f>SUMPRODUCT(($C$60:$C$259="Доход")*(YEAR($B$60:$B$259+0)=$P$25)*(MONTH($B$60:$B$259+0)=12)*$E$60:$E$259)</f>
        <v/>
      </c>
      <c r="N39" s="14">
        <f>SUMPRODUCT(($C$60:$C$259="Расход")*(YEAR($B$60:$B$259+0)=$P$25)*(MONTH($B$60:$B$259+0)=12)*$E$60:$E$259)</f>
        <v/>
      </c>
    </row>
    <row r="58">
      <c r="B58" s="7" t="inlineStr">
        <is>
          <t>ВСЕ ОПЕРАЦИИ</t>
        </is>
      </c>
      <c r="C58" s="8" t="n"/>
      <c r="D58" s="8" t="n"/>
      <c r="E58" s="8" t="n"/>
      <c r="F58" s="8" t="n"/>
    </row>
    <row r="59">
      <c r="B59" s="22" t="inlineStr">
        <is>
          <t>Дата</t>
        </is>
      </c>
      <c r="C59" s="22" t="inlineStr">
        <is>
          <t>Транзакция</t>
        </is>
      </c>
      <c r="D59" s="22" t="inlineStr">
        <is>
          <t>Категория</t>
        </is>
      </c>
      <c r="E59" s="22" t="inlineStr">
        <is>
          <t>Сумма</t>
        </is>
      </c>
      <c r="F59" s="22" t="inlineStr">
        <is>
          <t>Описание</t>
        </is>
      </c>
    </row>
    <row r="60">
      <c r="B60" s="26" t="n">
        <v>46027</v>
      </c>
      <c r="C60" s="14" t="inlineStr">
        <is>
          <t>Доход</t>
        </is>
      </c>
      <c r="D60" s="14" t="inlineStr">
        <is>
          <t>Зарплата</t>
        </is>
      </c>
      <c r="E60" s="27" t="n">
        <v>75000</v>
      </c>
      <c r="F60" s="14" t="inlineStr"/>
    </row>
    <row r="61">
      <c r="B61" s="26" t="n">
        <v>46028</v>
      </c>
      <c r="C61" s="14" t="inlineStr">
        <is>
          <t>Расход</t>
        </is>
      </c>
      <c r="D61" s="14" t="inlineStr">
        <is>
          <t>Аренда</t>
        </is>
      </c>
      <c r="E61" s="27" t="n">
        <v>28000</v>
      </c>
      <c r="F61" s="14" t="inlineStr"/>
    </row>
    <row r="62">
      <c r="B62" s="26" t="n">
        <v>46030</v>
      </c>
      <c r="C62" s="14" t="inlineStr">
        <is>
          <t>Расход</t>
        </is>
      </c>
      <c r="D62" s="14" t="inlineStr">
        <is>
          <t>Продукты</t>
        </is>
      </c>
      <c r="E62" s="27" t="n">
        <v>7500</v>
      </c>
      <c r="F62" s="14" t="inlineStr"/>
    </row>
    <row r="63">
      <c r="B63" s="26" t="n">
        <v>46032</v>
      </c>
      <c r="C63" s="14" t="inlineStr">
        <is>
          <t>Накопление</t>
        </is>
      </c>
      <c r="D63" s="14" t="inlineStr">
        <is>
          <t>Пополнение вклада</t>
        </is>
      </c>
      <c r="E63" s="27" t="n">
        <v>15000</v>
      </c>
      <c r="F63" s="14" t="inlineStr"/>
    </row>
    <row r="64">
      <c r="B64" s="26" t="n">
        <v>46037</v>
      </c>
      <c r="C64" s="14" t="inlineStr">
        <is>
          <t>Доход</t>
        </is>
      </c>
      <c r="D64" s="14" t="inlineStr">
        <is>
          <t>Заказы</t>
        </is>
      </c>
      <c r="E64" s="27" t="n">
        <v>20000</v>
      </c>
      <c r="F64" s="14" t="inlineStr">
        <is>
          <t>у друга</t>
        </is>
      </c>
    </row>
    <row r="65">
      <c r="B65" s="26" t="n">
        <v>46040</v>
      </c>
      <c r="C65" s="14" t="inlineStr">
        <is>
          <t>Расход</t>
        </is>
      </c>
      <c r="D65" s="14" t="inlineStr">
        <is>
          <t>Кредит</t>
        </is>
      </c>
      <c r="E65" s="27" t="n">
        <v>9000</v>
      </c>
      <c r="F65" s="14" t="inlineStr"/>
    </row>
    <row r="66">
      <c r="B66" s="26" t="n">
        <v>46042</v>
      </c>
      <c r="C66" s="14" t="inlineStr">
        <is>
          <t>Долг</t>
        </is>
      </c>
      <c r="D66" s="14" t="inlineStr">
        <is>
          <t>Взял в долг</t>
        </is>
      </c>
      <c r="E66" s="27" t="n">
        <v>10000</v>
      </c>
      <c r="F66" s="14" t="inlineStr"/>
    </row>
    <row r="67">
      <c r="B67" s="26" t="n">
        <v>46047</v>
      </c>
      <c r="C67" s="14" t="inlineStr">
        <is>
          <t>Расход</t>
        </is>
      </c>
      <c r="D67" s="14" t="inlineStr">
        <is>
          <t>Обучение</t>
        </is>
      </c>
      <c r="E67" s="27" t="n">
        <v>10000</v>
      </c>
      <c r="F67" s="14" t="inlineStr"/>
    </row>
    <row r="68">
      <c r="B68" s="26" t="n">
        <v>46055</v>
      </c>
      <c r="C68" s="14" t="inlineStr">
        <is>
          <t>Доход</t>
        </is>
      </c>
      <c r="D68" s="14" t="inlineStr">
        <is>
          <t>Зарплата</t>
        </is>
      </c>
      <c r="E68" s="27" t="n">
        <v>75000</v>
      </c>
      <c r="F68" s="14" t="inlineStr"/>
    </row>
    <row r="69">
      <c r="B69" s="26" t="n">
        <v>46056</v>
      </c>
      <c r="C69" s="14" t="inlineStr">
        <is>
          <t>Расход</t>
        </is>
      </c>
      <c r="D69" s="14" t="inlineStr">
        <is>
          <t>Аренда</t>
        </is>
      </c>
      <c r="E69" s="27" t="n">
        <v>28000</v>
      </c>
      <c r="F69" s="14" t="inlineStr"/>
    </row>
    <row r="70">
      <c r="B70" s="26" t="n">
        <v>46058</v>
      </c>
      <c r="C70" s="14" t="inlineStr">
        <is>
          <t>Расход</t>
        </is>
      </c>
      <c r="D70" s="14" t="inlineStr">
        <is>
          <t>Продукты</t>
        </is>
      </c>
      <c r="E70" s="27" t="n">
        <v>8000</v>
      </c>
      <c r="F70" s="14" t="inlineStr"/>
    </row>
    <row r="71">
      <c r="B71" s="26" t="n">
        <v>46061</v>
      </c>
      <c r="C71" s="14" t="inlineStr">
        <is>
          <t>Накопление</t>
        </is>
      </c>
      <c r="D71" s="14" t="inlineStr">
        <is>
          <t>Пополнение вклада</t>
        </is>
      </c>
      <c r="E71" s="27" t="n">
        <v>20000</v>
      </c>
      <c r="F71" s="14" t="inlineStr"/>
    </row>
    <row r="72">
      <c r="B72" s="26" t="n">
        <v>46065</v>
      </c>
      <c r="C72" s="14" t="inlineStr">
        <is>
          <t>Доход</t>
        </is>
      </c>
      <c r="D72" s="14" t="inlineStr">
        <is>
          <t>Заказы</t>
        </is>
      </c>
      <c r="E72" s="27" t="n">
        <v>30000</v>
      </c>
      <c r="F72" s="14" t="inlineStr"/>
    </row>
    <row r="73">
      <c r="B73" s="26" t="n">
        <v>46068</v>
      </c>
      <c r="C73" s="14" t="inlineStr">
        <is>
          <t>Долг</t>
        </is>
      </c>
      <c r="D73" s="14" t="inlineStr">
        <is>
          <t>Вернул долг</t>
        </is>
      </c>
      <c r="E73" s="27" t="n">
        <v>5000</v>
      </c>
      <c r="F73" s="14" t="inlineStr"/>
    </row>
    <row r="74">
      <c r="B74" s="26" t="n">
        <v>46071</v>
      </c>
      <c r="C74" s="14" t="inlineStr">
        <is>
          <t>Расход</t>
        </is>
      </c>
      <c r="D74" s="14" t="inlineStr">
        <is>
          <t>Ипотека</t>
        </is>
      </c>
      <c r="E74" s="27" t="n">
        <v>18000</v>
      </c>
      <c r="F74" s="14" t="inlineStr"/>
    </row>
    <row r="75">
      <c r="B75" s="14" t="n"/>
      <c r="C75" s="14" t="n"/>
      <c r="D75" s="14" t="n"/>
      <c r="E75" s="27" t="n"/>
      <c r="F75" s="14" t="n"/>
    </row>
    <row r="76">
      <c r="B76" s="14" t="n"/>
      <c r="C76" s="14" t="n"/>
      <c r="D76" s="14" t="n"/>
      <c r="E76" s="27" t="n"/>
      <c r="F76" s="14" t="n"/>
    </row>
    <row r="77">
      <c r="B77" s="14" t="n"/>
      <c r="C77" s="14" t="n"/>
      <c r="D77" s="14" t="n"/>
      <c r="E77" s="27" t="n"/>
      <c r="F77" s="14" t="n"/>
    </row>
    <row r="78">
      <c r="B78" s="14" t="n"/>
      <c r="C78" s="14" t="n"/>
      <c r="D78" s="14" t="n"/>
      <c r="E78" s="27" t="n"/>
      <c r="F78" s="14" t="n"/>
    </row>
    <row r="79">
      <c r="B79" s="14" t="n"/>
      <c r="C79" s="14" t="n"/>
      <c r="D79" s="14" t="n"/>
      <c r="E79" s="27" t="n"/>
      <c r="F79" s="14" t="n"/>
    </row>
    <row r="80">
      <c r="B80" s="14" t="n"/>
      <c r="C80" s="14" t="n"/>
      <c r="D80" s="14" t="n"/>
      <c r="E80" s="27" t="n"/>
      <c r="F80" s="14" t="n"/>
    </row>
    <row r="81">
      <c r="B81" s="14" t="n"/>
      <c r="C81" s="14" t="n"/>
      <c r="D81" s="14" t="n"/>
      <c r="E81" s="27" t="n"/>
      <c r="F81" s="14" t="n"/>
    </row>
    <row r="82">
      <c r="B82" s="14" t="n"/>
      <c r="C82" s="14" t="n"/>
      <c r="D82" s="14" t="n"/>
      <c r="E82" s="27" t="n"/>
      <c r="F82" s="14" t="n"/>
    </row>
    <row r="83">
      <c r="B83" s="14" t="n"/>
      <c r="C83" s="14" t="n"/>
      <c r="D83" s="14" t="n"/>
      <c r="E83" s="27" t="n"/>
      <c r="F83" s="14" t="n"/>
    </row>
    <row r="84">
      <c r="B84" s="14" t="n"/>
      <c r="C84" s="14" t="n"/>
      <c r="D84" s="14" t="n"/>
      <c r="E84" s="27" t="n"/>
      <c r="F84" s="14" t="n"/>
    </row>
    <row r="85">
      <c r="B85" s="14" t="n"/>
      <c r="C85" s="14" t="n"/>
      <c r="D85" s="14" t="n"/>
      <c r="E85" s="27" t="n"/>
      <c r="F85" s="14" t="n"/>
    </row>
    <row r="86">
      <c r="B86" s="14" t="n"/>
      <c r="C86" s="14" t="n"/>
      <c r="D86" s="14" t="n"/>
      <c r="E86" s="27" t="n"/>
      <c r="F86" s="14" t="n"/>
    </row>
    <row r="87">
      <c r="B87" s="14" t="n"/>
      <c r="C87" s="14" t="n"/>
      <c r="D87" s="14" t="n"/>
      <c r="E87" s="27" t="n"/>
      <c r="F87" s="14" t="n"/>
    </row>
    <row r="88">
      <c r="B88" s="14" t="n"/>
      <c r="C88" s="14" t="n"/>
      <c r="D88" s="14" t="n"/>
      <c r="E88" s="27" t="n"/>
      <c r="F88" s="14" t="n"/>
    </row>
    <row r="89">
      <c r="B89" s="14" t="n"/>
      <c r="C89" s="14" t="n"/>
      <c r="D89" s="14" t="n"/>
      <c r="E89" s="27" t="n"/>
      <c r="F89" s="14" t="n"/>
    </row>
    <row r="90">
      <c r="B90" s="14" t="n"/>
      <c r="C90" s="14" t="n"/>
      <c r="D90" s="14" t="n"/>
      <c r="E90" s="27" t="n"/>
      <c r="F90" s="14" t="n"/>
    </row>
    <row r="91">
      <c r="B91" s="14" t="n"/>
      <c r="C91" s="14" t="n"/>
      <c r="D91" s="14" t="n"/>
      <c r="E91" s="27" t="n"/>
      <c r="F91" s="14" t="n"/>
    </row>
    <row r="92">
      <c r="B92" s="14" t="n"/>
      <c r="C92" s="14" t="n"/>
      <c r="D92" s="14" t="n"/>
      <c r="E92" s="27" t="n"/>
      <c r="F92" s="14" t="n"/>
    </row>
    <row r="93">
      <c r="B93" s="14" t="n"/>
      <c r="C93" s="14" t="n"/>
      <c r="D93" s="14" t="n"/>
      <c r="E93" s="27" t="n"/>
      <c r="F93" s="14" t="n"/>
    </row>
    <row r="94">
      <c r="B94" s="14" t="n"/>
      <c r="C94" s="14" t="n"/>
      <c r="D94" s="14" t="n"/>
      <c r="E94" s="27" t="n"/>
      <c r="F94" s="14" t="n"/>
    </row>
    <row r="95">
      <c r="B95" s="14" t="n"/>
      <c r="C95" s="14" t="n"/>
      <c r="D95" s="14" t="n"/>
      <c r="E95" s="27" t="n"/>
      <c r="F95" s="14" t="n"/>
    </row>
    <row r="96">
      <c r="B96" s="14" t="n"/>
      <c r="C96" s="14" t="n"/>
      <c r="D96" s="14" t="n"/>
      <c r="E96" s="27" t="n"/>
      <c r="F96" s="14" t="n"/>
    </row>
    <row r="97">
      <c r="B97" s="14" t="n"/>
      <c r="C97" s="14" t="n"/>
      <c r="D97" s="14" t="n"/>
      <c r="E97" s="27" t="n"/>
      <c r="F97" s="14" t="n"/>
    </row>
    <row r="98">
      <c r="B98" s="14" t="n"/>
      <c r="C98" s="14" t="n"/>
      <c r="D98" s="14" t="n"/>
      <c r="E98" s="27" t="n"/>
      <c r="F98" s="14" t="n"/>
    </row>
    <row r="99">
      <c r="B99" s="14" t="n"/>
      <c r="C99" s="14" t="n"/>
      <c r="D99" s="14" t="n"/>
      <c r="E99" s="27" t="n"/>
      <c r="F99" s="14" t="n"/>
    </row>
    <row r="100">
      <c r="B100" s="14" t="n"/>
      <c r="C100" s="14" t="n"/>
      <c r="D100" s="14" t="n"/>
      <c r="E100" s="27" t="n"/>
      <c r="F100" s="14" t="n"/>
    </row>
    <row r="101">
      <c r="B101" s="14" t="n"/>
      <c r="C101" s="14" t="n"/>
      <c r="D101" s="14" t="n"/>
      <c r="E101" s="27" t="n"/>
      <c r="F101" s="14" t="n"/>
    </row>
    <row r="102">
      <c r="B102" s="14" t="n"/>
      <c r="C102" s="14" t="n"/>
      <c r="D102" s="14" t="n"/>
      <c r="E102" s="27" t="n"/>
      <c r="F102" s="14" t="n"/>
    </row>
    <row r="103">
      <c r="B103" s="14" t="n"/>
      <c r="C103" s="14" t="n"/>
      <c r="D103" s="14" t="n"/>
      <c r="E103" s="27" t="n"/>
      <c r="F103" s="14" t="n"/>
    </row>
    <row r="104">
      <c r="B104" s="14" t="n"/>
      <c r="C104" s="14" t="n"/>
      <c r="D104" s="14" t="n"/>
      <c r="E104" s="27" t="n"/>
      <c r="F104" s="14" t="n"/>
    </row>
    <row r="105">
      <c r="B105" s="14" t="n"/>
      <c r="C105" s="14" t="n"/>
      <c r="D105" s="14" t="n"/>
      <c r="E105" s="27" t="n"/>
      <c r="F105" s="14" t="n"/>
    </row>
    <row r="106">
      <c r="B106" s="14" t="n"/>
      <c r="C106" s="14" t="n"/>
      <c r="D106" s="14" t="n"/>
      <c r="E106" s="27" t="n"/>
      <c r="F106" s="14" t="n"/>
    </row>
    <row r="107">
      <c r="B107" s="14" t="n"/>
      <c r="C107" s="14" t="n"/>
      <c r="D107" s="14" t="n"/>
      <c r="E107" s="27" t="n"/>
      <c r="F107" s="14" t="n"/>
    </row>
    <row r="108">
      <c r="B108" s="14" t="n"/>
      <c r="C108" s="14" t="n"/>
      <c r="D108" s="14" t="n"/>
      <c r="E108" s="27" t="n"/>
      <c r="F108" s="14" t="n"/>
    </row>
    <row r="109">
      <c r="B109" s="14" t="n"/>
      <c r="C109" s="14" t="n"/>
      <c r="D109" s="14" t="n"/>
      <c r="E109" s="27" t="n"/>
      <c r="F109" s="14" t="n"/>
    </row>
    <row r="110">
      <c r="B110" s="14" t="n"/>
      <c r="C110" s="14" t="n"/>
      <c r="D110" s="14" t="n"/>
      <c r="E110" s="27" t="n"/>
      <c r="F110" s="14" t="n"/>
    </row>
    <row r="111">
      <c r="B111" s="14" t="n"/>
      <c r="C111" s="14" t="n"/>
      <c r="D111" s="14" t="n"/>
      <c r="E111" s="27" t="n"/>
      <c r="F111" s="14" t="n"/>
    </row>
    <row r="112">
      <c r="B112" s="14" t="n"/>
      <c r="C112" s="14" t="n"/>
      <c r="D112" s="14" t="n"/>
      <c r="E112" s="27" t="n"/>
      <c r="F112" s="14" t="n"/>
    </row>
    <row r="113">
      <c r="B113" s="14" t="n"/>
      <c r="C113" s="14" t="n"/>
      <c r="D113" s="14" t="n"/>
      <c r="E113" s="27" t="n"/>
      <c r="F113" s="14" t="n"/>
    </row>
    <row r="114">
      <c r="B114" s="14" t="n"/>
      <c r="C114" s="14" t="n"/>
      <c r="D114" s="14" t="n"/>
      <c r="E114" s="27" t="n"/>
      <c r="F114" s="14" t="n"/>
    </row>
    <row r="115">
      <c r="B115" s="14" t="n"/>
      <c r="C115" s="14" t="n"/>
      <c r="D115" s="14" t="n"/>
      <c r="E115" s="27" t="n"/>
      <c r="F115" s="14" t="n"/>
    </row>
    <row r="116">
      <c r="B116" s="14" t="n"/>
      <c r="C116" s="14" t="n"/>
      <c r="D116" s="14" t="n"/>
      <c r="E116" s="27" t="n"/>
      <c r="F116" s="14" t="n"/>
    </row>
    <row r="117">
      <c r="B117" s="14" t="n"/>
      <c r="C117" s="14" t="n"/>
      <c r="D117" s="14" t="n"/>
      <c r="E117" s="27" t="n"/>
      <c r="F117" s="14" t="n"/>
    </row>
    <row r="118">
      <c r="B118" s="14" t="n"/>
      <c r="C118" s="14" t="n"/>
      <c r="D118" s="14" t="n"/>
      <c r="E118" s="27" t="n"/>
      <c r="F118" s="14" t="n"/>
    </row>
    <row r="119">
      <c r="B119" s="14" t="n"/>
      <c r="C119" s="14" t="n"/>
      <c r="D119" s="14" t="n"/>
      <c r="E119" s="27" t="n"/>
      <c r="F119" s="14" t="n"/>
    </row>
    <row r="120">
      <c r="B120" s="14" t="n"/>
      <c r="C120" s="14" t="n"/>
      <c r="D120" s="14" t="n"/>
      <c r="E120" s="27" t="n"/>
      <c r="F120" s="14" t="n"/>
    </row>
    <row r="121">
      <c r="B121" s="14" t="n"/>
      <c r="C121" s="14" t="n"/>
      <c r="D121" s="14" t="n"/>
      <c r="E121" s="27" t="n"/>
      <c r="F121" s="14" t="n"/>
    </row>
    <row r="122">
      <c r="B122" s="14" t="n"/>
      <c r="C122" s="14" t="n"/>
      <c r="D122" s="14" t="n"/>
      <c r="E122" s="27" t="n"/>
      <c r="F122" s="14" t="n"/>
    </row>
    <row r="123">
      <c r="B123" s="14" t="n"/>
      <c r="C123" s="14" t="n"/>
      <c r="D123" s="14" t="n"/>
      <c r="E123" s="27" t="n"/>
      <c r="F123" s="14" t="n"/>
    </row>
    <row r="124">
      <c r="B124" s="14" t="n"/>
      <c r="C124" s="14" t="n"/>
      <c r="D124" s="14" t="n"/>
      <c r="E124" s="27" t="n"/>
      <c r="F124" s="14" t="n"/>
    </row>
    <row r="125">
      <c r="B125" s="14" t="n"/>
      <c r="C125" s="14" t="n"/>
      <c r="D125" s="14" t="n"/>
      <c r="E125" s="27" t="n"/>
      <c r="F125" s="14" t="n"/>
    </row>
    <row r="126">
      <c r="B126" s="14" t="n"/>
      <c r="C126" s="14" t="n"/>
      <c r="D126" s="14" t="n"/>
      <c r="E126" s="27" t="n"/>
      <c r="F126" s="14" t="n"/>
    </row>
    <row r="127">
      <c r="B127" s="14" t="n"/>
      <c r="C127" s="14" t="n"/>
      <c r="D127" s="14" t="n"/>
      <c r="E127" s="27" t="n"/>
      <c r="F127" s="14" t="n"/>
    </row>
    <row r="128">
      <c r="B128" s="14" t="n"/>
      <c r="C128" s="14" t="n"/>
      <c r="D128" s="14" t="n"/>
      <c r="E128" s="27" t="n"/>
      <c r="F128" s="14" t="n"/>
    </row>
    <row r="129">
      <c r="B129" s="14" t="n"/>
      <c r="C129" s="14" t="n"/>
      <c r="D129" s="14" t="n"/>
      <c r="E129" s="27" t="n"/>
      <c r="F129" s="14" t="n"/>
    </row>
    <row r="130">
      <c r="B130" s="14" t="n"/>
      <c r="C130" s="14" t="n"/>
      <c r="D130" s="14" t="n"/>
      <c r="E130" s="27" t="n"/>
      <c r="F130" s="14" t="n"/>
    </row>
    <row r="131">
      <c r="B131" s="14" t="n"/>
      <c r="C131" s="14" t="n"/>
      <c r="D131" s="14" t="n"/>
      <c r="E131" s="27" t="n"/>
      <c r="F131" s="14" t="n"/>
    </row>
    <row r="132">
      <c r="B132" s="14" t="n"/>
      <c r="C132" s="14" t="n"/>
      <c r="D132" s="14" t="n"/>
      <c r="E132" s="27" t="n"/>
      <c r="F132" s="14" t="n"/>
    </row>
    <row r="133">
      <c r="B133" s="14" t="n"/>
      <c r="C133" s="14" t="n"/>
      <c r="D133" s="14" t="n"/>
      <c r="E133" s="27" t="n"/>
      <c r="F133" s="14" t="n"/>
    </row>
    <row r="134">
      <c r="B134" s="14" t="n"/>
      <c r="C134" s="14" t="n"/>
      <c r="D134" s="14" t="n"/>
      <c r="E134" s="27" t="n"/>
      <c r="F134" s="14" t="n"/>
    </row>
    <row r="135">
      <c r="B135" s="14" t="n"/>
      <c r="C135" s="14" t="n"/>
      <c r="D135" s="14" t="n"/>
      <c r="E135" s="27" t="n"/>
      <c r="F135" s="14" t="n"/>
    </row>
    <row r="136">
      <c r="B136" s="14" t="n"/>
      <c r="C136" s="14" t="n"/>
      <c r="D136" s="14" t="n"/>
      <c r="E136" s="27" t="n"/>
      <c r="F136" s="14" t="n"/>
    </row>
    <row r="137">
      <c r="B137" s="14" t="n"/>
      <c r="C137" s="14" t="n"/>
      <c r="D137" s="14" t="n"/>
      <c r="E137" s="27" t="n"/>
      <c r="F137" s="14" t="n"/>
    </row>
    <row r="138">
      <c r="B138" s="14" t="n"/>
      <c r="C138" s="14" t="n"/>
      <c r="D138" s="14" t="n"/>
      <c r="E138" s="27" t="n"/>
      <c r="F138" s="14" t="n"/>
    </row>
    <row r="139">
      <c r="B139" s="14" t="n"/>
      <c r="C139" s="14" t="n"/>
      <c r="D139" s="14" t="n"/>
      <c r="E139" s="27" t="n"/>
      <c r="F139" s="14" t="n"/>
    </row>
    <row r="140">
      <c r="B140" s="14" t="n"/>
      <c r="C140" s="14" t="n"/>
      <c r="D140" s="14" t="n"/>
      <c r="E140" s="27" t="n"/>
      <c r="F140" s="14" t="n"/>
    </row>
    <row r="141">
      <c r="B141" s="14" t="n"/>
      <c r="C141" s="14" t="n"/>
      <c r="D141" s="14" t="n"/>
      <c r="E141" s="27" t="n"/>
      <c r="F141" s="14" t="n"/>
    </row>
    <row r="142">
      <c r="B142" s="14" t="n"/>
      <c r="C142" s="14" t="n"/>
      <c r="D142" s="14" t="n"/>
      <c r="E142" s="27" t="n"/>
      <c r="F142" s="14" t="n"/>
    </row>
    <row r="143">
      <c r="B143" s="14" t="n"/>
      <c r="C143" s="14" t="n"/>
      <c r="D143" s="14" t="n"/>
      <c r="E143" s="27" t="n"/>
      <c r="F143" s="14" t="n"/>
    </row>
    <row r="144">
      <c r="B144" s="14" t="n"/>
      <c r="C144" s="14" t="n"/>
      <c r="D144" s="14" t="n"/>
      <c r="E144" s="27" t="n"/>
      <c r="F144" s="14" t="n"/>
    </row>
    <row r="145">
      <c r="B145" s="14" t="n"/>
      <c r="C145" s="14" t="n"/>
      <c r="D145" s="14" t="n"/>
      <c r="E145" s="27" t="n"/>
      <c r="F145" s="14" t="n"/>
    </row>
    <row r="146">
      <c r="B146" s="14" t="n"/>
      <c r="C146" s="14" t="n"/>
      <c r="D146" s="14" t="n"/>
      <c r="E146" s="27" t="n"/>
      <c r="F146" s="14" t="n"/>
    </row>
    <row r="147">
      <c r="B147" s="14" t="n"/>
      <c r="C147" s="14" t="n"/>
      <c r="D147" s="14" t="n"/>
      <c r="E147" s="27" t="n"/>
      <c r="F147" s="14" t="n"/>
    </row>
    <row r="148">
      <c r="B148" s="14" t="n"/>
      <c r="C148" s="14" t="n"/>
      <c r="D148" s="14" t="n"/>
      <c r="E148" s="27" t="n"/>
      <c r="F148" s="14" t="n"/>
    </row>
    <row r="149">
      <c r="B149" s="14" t="n"/>
      <c r="C149" s="14" t="n"/>
      <c r="D149" s="14" t="n"/>
      <c r="E149" s="27" t="n"/>
      <c r="F149" s="14" t="n"/>
    </row>
    <row r="150">
      <c r="B150" s="14" t="n"/>
      <c r="C150" s="14" t="n"/>
      <c r="D150" s="14" t="n"/>
      <c r="E150" s="27" t="n"/>
      <c r="F150" s="14" t="n"/>
    </row>
    <row r="151">
      <c r="B151" s="14" t="n"/>
      <c r="C151" s="14" t="n"/>
      <c r="D151" s="14" t="n"/>
      <c r="E151" s="27" t="n"/>
      <c r="F151" s="14" t="n"/>
    </row>
    <row r="152">
      <c r="B152" s="14" t="n"/>
      <c r="C152" s="14" t="n"/>
      <c r="D152" s="14" t="n"/>
      <c r="E152" s="27" t="n"/>
      <c r="F152" s="14" t="n"/>
    </row>
    <row r="153">
      <c r="B153" s="14" t="n"/>
      <c r="C153" s="14" t="n"/>
      <c r="D153" s="14" t="n"/>
      <c r="E153" s="27" t="n"/>
      <c r="F153" s="14" t="n"/>
    </row>
    <row r="154">
      <c r="B154" s="14" t="n"/>
      <c r="C154" s="14" t="n"/>
      <c r="D154" s="14" t="n"/>
      <c r="E154" s="27" t="n"/>
      <c r="F154" s="14" t="n"/>
    </row>
    <row r="155">
      <c r="B155" s="14" t="n"/>
      <c r="C155" s="14" t="n"/>
      <c r="D155" s="14" t="n"/>
      <c r="E155" s="27" t="n"/>
      <c r="F155" s="14" t="n"/>
    </row>
    <row r="156">
      <c r="B156" s="14" t="n"/>
      <c r="C156" s="14" t="n"/>
      <c r="D156" s="14" t="n"/>
      <c r="E156" s="27" t="n"/>
      <c r="F156" s="14" t="n"/>
    </row>
    <row r="157">
      <c r="B157" s="14" t="n"/>
      <c r="C157" s="14" t="n"/>
      <c r="D157" s="14" t="n"/>
      <c r="E157" s="27" t="n"/>
      <c r="F157" s="14" t="n"/>
    </row>
    <row r="158">
      <c r="B158" s="14" t="n"/>
      <c r="C158" s="14" t="n"/>
      <c r="D158" s="14" t="n"/>
      <c r="E158" s="27" t="n"/>
      <c r="F158" s="14" t="n"/>
    </row>
    <row r="159">
      <c r="B159" s="14" t="n"/>
      <c r="C159" s="14" t="n"/>
      <c r="D159" s="14" t="n"/>
      <c r="E159" s="27" t="n"/>
      <c r="F159" s="14" t="n"/>
    </row>
    <row r="160">
      <c r="B160" s="14" t="n"/>
      <c r="C160" s="14" t="n"/>
      <c r="D160" s="14" t="n"/>
      <c r="E160" s="27" t="n"/>
      <c r="F160" s="14" t="n"/>
    </row>
    <row r="161">
      <c r="B161" s="14" t="n"/>
      <c r="C161" s="14" t="n"/>
      <c r="D161" s="14" t="n"/>
      <c r="E161" s="27" t="n"/>
      <c r="F161" s="14" t="n"/>
    </row>
    <row r="162">
      <c r="B162" s="14" t="n"/>
      <c r="C162" s="14" t="n"/>
      <c r="D162" s="14" t="n"/>
      <c r="E162" s="27" t="n"/>
      <c r="F162" s="14" t="n"/>
    </row>
    <row r="163">
      <c r="B163" s="14" t="n"/>
      <c r="C163" s="14" t="n"/>
      <c r="D163" s="14" t="n"/>
      <c r="E163" s="27" t="n"/>
      <c r="F163" s="14" t="n"/>
    </row>
    <row r="164">
      <c r="B164" s="14" t="n"/>
      <c r="C164" s="14" t="n"/>
      <c r="D164" s="14" t="n"/>
      <c r="E164" s="27" t="n"/>
      <c r="F164" s="14" t="n"/>
    </row>
    <row r="165">
      <c r="B165" s="14" t="n"/>
      <c r="C165" s="14" t="n"/>
      <c r="D165" s="14" t="n"/>
      <c r="E165" s="27" t="n"/>
      <c r="F165" s="14" t="n"/>
    </row>
    <row r="166">
      <c r="B166" s="14" t="n"/>
      <c r="C166" s="14" t="n"/>
      <c r="D166" s="14" t="n"/>
      <c r="E166" s="27" t="n"/>
      <c r="F166" s="14" t="n"/>
    </row>
    <row r="167">
      <c r="B167" s="14" t="n"/>
      <c r="C167" s="14" t="n"/>
      <c r="D167" s="14" t="n"/>
      <c r="E167" s="27" t="n"/>
      <c r="F167" s="14" t="n"/>
    </row>
    <row r="168">
      <c r="B168" s="14" t="n"/>
      <c r="C168" s="14" t="n"/>
      <c r="D168" s="14" t="n"/>
      <c r="E168" s="27" t="n"/>
      <c r="F168" s="14" t="n"/>
    </row>
    <row r="169">
      <c r="B169" s="14" t="n"/>
      <c r="C169" s="14" t="n"/>
      <c r="D169" s="14" t="n"/>
      <c r="E169" s="27" t="n"/>
      <c r="F169" s="14" t="n"/>
    </row>
    <row r="170">
      <c r="B170" s="14" t="n"/>
      <c r="C170" s="14" t="n"/>
      <c r="D170" s="14" t="n"/>
      <c r="E170" s="27" t="n"/>
      <c r="F170" s="14" t="n"/>
    </row>
    <row r="171">
      <c r="B171" s="14" t="n"/>
      <c r="C171" s="14" t="n"/>
      <c r="D171" s="14" t="n"/>
      <c r="E171" s="27" t="n"/>
      <c r="F171" s="14" t="n"/>
    </row>
    <row r="172">
      <c r="B172" s="14" t="n"/>
      <c r="C172" s="14" t="n"/>
      <c r="D172" s="14" t="n"/>
      <c r="E172" s="27" t="n"/>
      <c r="F172" s="14" t="n"/>
    </row>
    <row r="173">
      <c r="B173" s="14" t="n"/>
      <c r="C173" s="14" t="n"/>
      <c r="D173" s="14" t="n"/>
      <c r="E173" s="27" t="n"/>
      <c r="F173" s="14" t="n"/>
    </row>
    <row r="174">
      <c r="B174" s="14" t="n"/>
      <c r="C174" s="14" t="n"/>
      <c r="D174" s="14" t="n"/>
      <c r="E174" s="27" t="n"/>
      <c r="F174" s="14" t="n"/>
    </row>
    <row r="175">
      <c r="B175" s="14" t="n"/>
      <c r="C175" s="14" t="n"/>
      <c r="D175" s="14" t="n"/>
      <c r="E175" s="27" t="n"/>
      <c r="F175" s="14" t="n"/>
    </row>
    <row r="176">
      <c r="B176" s="14" t="n"/>
      <c r="C176" s="14" t="n"/>
      <c r="D176" s="14" t="n"/>
      <c r="E176" s="27" t="n"/>
      <c r="F176" s="14" t="n"/>
    </row>
    <row r="177">
      <c r="B177" s="14" t="n"/>
      <c r="C177" s="14" t="n"/>
      <c r="D177" s="14" t="n"/>
      <c r="E177" s="27" t="n"/>
      <c r="F177" s="14" t="n"/>
    </row>
    <row r="178">
      <c r="B178" s="14" t="n"/>
      <c r="C178" s="14" t="n"/>
      <c r="D178" s="14" t="n"/>
      <c r="E178" s="27" t="n"/>
      <c r="F178" s="14" t="n"/>
    </row>
    <row r="179">
      <c r="B179" s="14" t="n"/>
      <c r="C179" s="14" t="n"/>
      <c r="D179" s="14" t="n"/>
      <c r="E179" s="27" t="n"/>
      <c r="F179" s="14" t="n"/>
    </row>
    <row r="180">
      <c r="B180" s="14" t="n"/>
      <c r="C180" s="14" t="n"/>
      <c r="D180" s="14" t="n"/>
      <c r="E180" s="27" t="n"/>
      <c r="F180" s="14" t="n"/>
    </row>
    <row r="181">
      <c r="B181" s="14" t="n"/>
      <c r="C181" s="14" t="n"/>
      <c r="D181" s="14" t="n"/>
      <c r="E181" s="27" t="n"/>
      <c r="F181" s="14" t="n"/>
    </row>
    <row r="182">
      <c r="B182" s="14" t="n"/>
      <c r="C182" s="14" t="n"/>
      <c r="D182" s="14" t="n"/>
      <c r="E182" s="27" t="n"/>
      <c r="F182" s="14" t="n"/>
    </row>
    <row r="183">
      <c r="B183" s="14" t="n"/>
      <c r="C183" s="14" t="n"/>
      <c r="D183" s="14" t="n"/>
      <c r="E183" s="27" t="n"/>
      <c r="F183" s="14" t="n"/>
    </row>
    <row r="184">
      <c r="B184" s="14" t="n"/>
      <c r="C184" s="14" t="n"/>
      <c r="D184" s="14" t="n"/>
      <c r="E184" s="27" t="n"/>
      <c r="F184" s="14" t="n"/>
    </row>
    <row r="185">
      <c r="B185" s="14" t="n"/>
      <c r="C185" s="14" t="n"/>
      <c r="D185" s="14" t="n"/>
      <c r="E185" s="27" t="n"/>
      <c r="F185" s="14" t="n"/>
    </row>
    <row r="186">
      <c r="B186" s="14" t="n"/>
      <c r="C186" s="14" t="n"/>
      <c r="D186" s="14" t="n"/>
      <c r="E186" s="27" t="n"/>
      <c r="F186" s="14" t="n"/>
    </row>
    <row r="187">
      <c r="B187" s="14" t="n"/>
      <c r="C187" s="14" t="n"/>
      <c r="D187" s="14" t="n"/>
      <c r="E187" s="27" t="n"/>
      <c r="F187" s="14" t="n"/>
    </row>
    <row r="188">
      <c r="B188" s="14" t="n"/>
      <c r="C188" s="14" t="n"/>
      <c r="D188" s="14" t="n"/>
      <c r="E188" s="27" t="n"/>
      <c r="F188" s="14" t="n"/>
    </row>
    <row r="189">
      <c r="B189" s="14" t="n"/>
      <c r="C189" s="14" t="n"/>
      <c r="D189" s="14" t="n"/>
      <c r="E189" s="27" t="n"/>
      <c r="F189" s="14" t="n"/>
    </row>
    <row r="190">
      <c r="B190" s="14" t="n"/>
      <c r="C190" s="14" t="n"/>
      <c r="D190" s="14" t="n"/>
      <c r="E190" s="27" t="n"/>
      <c r="F190" s="14" t="n"/>
    </row>
    <row r="191">
      <c r="B191" s="14" t="n"/>
      <c r="C191" s="14" t="n"/>
      <c r="D191" s="14" t="n"/>
      <c r="E191" s="27" t="n"/>
      <c r="F191" s="14" t="n"/>
    </row>
    <row r="192">
      <c r="B192" s="14" t="n"/>
      <c r="C192" s="14" t="n"/>
      <c r="D192" s="14" t="n"/>
      <c r="E192" s="27" t="n"/>
      <c r="F192" s="14" t="n"/>
    </row>
    <row r="193">
      <c r="B193" s="14" t="n"/>
      <c r="C193" s="14" t="n"/>
      <c r="D193" s="14" t="n"/>
      <c r="E193" s="27" t="n"/>
      <c r="F193" s="14" t="n"/>
    </row>
    <row r="194">
      <c r="B194" s="14" t="n"/>
      <c r="C194" s="14" t="n"/>
      <c r="D194" s="14" t="n"/>
      <c r="E194" s="27" t="n"/>
      <c r="F194" s="14" t="n"/>
    </row>
    <row r="195">
      <c r="B195" s="14" t="n"/>
      <c r="C195" s="14" t="n"/>
      <c r="D195" s="14" t="n"/>
      <c r="E195" s="27" t="n"/>
      <c r="F195" s="14" t="n"/>
    </row>
    <row r="196">
      <c r="B196" s="14" t="n"/>
      <c r="C196" s="14" t="n"/>
      <c r="D196" s="14" t="n"/>
      <c r="E196" s="27" t="n"/>
      <c r="F196" s="14" t="n"/>
    </row>
    <row r="197">
      <c r="B197" s="14" t="n"/>
      <c r="C197" s="14" t="n"/>
      <c r="D197" s="14" t="n"/>
      <c r="E197" s="27" t="n"/>
      <c r="F197" s="14" t="n"/>
    </row>
    <row r="198">
      <c r="B198" s="14" t="n"/>
      <c r="C198" s="14" t="n"/>
      <c r="D198" s="14" t="n"/>
      <c r="E198" s="27" t="n"/>
      <c r="F198" s="14" t="n"/>
    </row>
    <row r="199">
      <c r="B199" s="14" t="n"/>
      <c r="C199" s="14" t="n"/>
      <c r="D199" s="14" t="n"/>
      <c r="E199" s="27" t="n"/>
      <c r="F199" s="14" t="n"/>
    </row>
    <row r="200">
      <c r="B200" s="14" t="n"/>
      <c r="C200" s="14" t="n"/>
      <c r="D200" s="14" t="n"/>
      <c r="E200" s="27" t="n"/>
      <c r="F200" s="14" t="n"/>
    </row>
    <row r="201">
      <c r="B201" s="14" t="n"/>
      <c r="C201" s="14" t="n"/>
      <c r="D201" s="14" t="n"/>
      <c r="E201" s="27" t="n"/>
      <c r="F201" s="14" t="n"/>
    </row>
    <row r="202">
      <c r="B202" s="14" t="n"/>
      <c r="C202" s="14" t="n"/>
      <c r="D202" s="14" t="n"/>
      <c r="E202" s="27" t="n"/>
      <c r="F202" s="14" t="n"/>
    </row>
    <row r="203">
      <c r="B203" s="14" t="n"/>
      <c r="C203" s="14" t="n"/>
      <c r="D203" s="14" t="n"/>
      <c r="E203" s="27" t="n"/>
      <c r="F203" s="14" t="n"/>
    </row>
    <row r="204">
      <c r="B204" s="14" t="n"/>
      <c r="C204" s="14" t="n"/>
      <c r="D204" s="14" t="n"/>
      <c r="E204" s="27" t="n"/>
      <c r="F204" s="14" t="n"/>
    </row>
    <row r="205">
      <c r="B205" s="14" t="n"/>
      <c r="C205" s="14" t="n"/>
      <c r="D205" s="14" t="n"/>
      <c r="E205" s="27" t="n"/>
      <c r="F205" s="14" t="n"/>
    </row>
    <row r="206">
      <c r="B206" s="14" t="n"/>
      <c r="C206" s="14" t="n"/>
      <c r="D206" s="14" t="n"/>
      <c r="E206" s="27" t="n"/>
      <c r="F206" s="14" t="n"/>
    </row>
    <row r="207">
      <c r="B207" s="14" t="n"/>
      <c r="C207" s="14" t="n"/>
      <c r="D207" s="14" t="n"/>
      <c r="E207" s="27" t="n"/>
      <c r="F207" s="14" t="n"/>
    </row>
    <row r="208">
      <c r="B208" s="14" t="n"/>
      <c r="C208" s="14" t="n"/>
      <c r="D208" s="14" t="n"/>
      <c r="E208" s="27" t="n"/>
      <c r="F208" s="14" t="n"/>
    </row>
    <row r="209">
      <c r="B209" s="14" t="n"/>
      <c r="C209" s="14" t="n"/>
      <c r="D209" s="14" t="n"/>
      <c r="E209" s="27" t="n"/>
      <c r="F209" s="14" t="n"/>
    </row>
    <row r="210">
      <c r="B210" s="14" t="n"/>
      <c r="C210" s="14" t="n"/>
      <c r="D210" s="14" t="n"/>
      <c r="E210" s="27" t="n"/>
      <c r="F210" s="14" t="n"/>
    </row>
    <row r="211">
      <c r="B211" s="14" t="n"/>
      <c r="C211" s="14" t="n"/>
      <c r="D211" s="14" t="n"/>
      <c r="E211" s="27" t="n"/>
      <c r="F211" s="14" t="n"/>
    </row>
    <row r="212">
      <c r="B212" s="14" t="n"/>
      <c r="C212" s="14" t="n"/>
      <c r="D212" s="14" t="n"/>
      <c r="E212" s="27" t="n"/>
      <c r="F212" s="14" t="n"/>
    </row>
    <row r="213">
      <c r="B213" s="14" t="n"/>
      <c r="C213" s="14" t="n"/>
      <c r="D213" s="14" t="n"/>
      <c r="E213" s="27" t="n"/>
      <c r="F213" s="14" t="n"/>
    </row>
    <row r="214">
      <c r="B214" s="14" t="n"/>
      <c r="C214" s="14" t="n"/>
      <c r="D214" s="14" t="n"/>
      <c r="E214" s="27" t="n"/>
      <c r="F214" s="14" t="n"/>
    </row>
    <row r="215">
      <c r="B215" s="14" t="n"/>
      <c r="C215" s="14" t="n"/>
      <c r="D215" s="14" t="n"/>
      <c r="E215" s="27" t="n"/>
      <c r="F215" s="14" t="n"/>
    </row>
    <row r="216">
      <c r="B216" s="14" t="n"/>
      <c r="C216" s="14" t="n"/>
      <c r="D216" s="14" t="n"/>
      <c r="E216" s="27" t="n"/>
      <c r="F216" s="14" t="n"/>
    </row>
    <row r="217">
      <c r="B217" s="14" t="n"/>
      <c r="C217" s="14" t="n"/>
      <c r="D217" s="14" t="n"/>
      <c r="E217" s="27" t="n"/>
      <c r="F217" s="14" t="n"/>
    </row>
    <row r="218">
      <c r="B218" s="14" t="n"/>
      <c r="C218" s="14" t="n"/>
      <c r="D218" s="14" t="n"/>
      <c r="E218" s="27" t="n"/>
      <c r="F218" s="14" t="n"/>
    </row>
    <row r="219">
      <c r="B219" s="14" t="n"/>
      <c r="C219" s="14" t="n"/>
      <c r="D219" s="14" t="n"/>
      <c r="E219" s="27" t="n"/>
      <c r="F219" s="14" t="n"/>
    </row>
    <row r="220">
      <c r="B220" s="14" t="n"/>
      <c r="C220" s="14" t="n"/>
      <c r="D220" s="14" t="n"/>
      <c r="E220" s="27" t="n"/>
      <c r="F220" s="14" t="n"/>
    </row>
    <row r="221">
      <c r="B221" s="14" t="n"/>
      <c r="C221" s="14" t="n"/>
      <c r="D221" s="14" t="n"/>
      <c r="E221" s="27" t="n"/>
      <c r="F221" s="14" t="n"/>
    </row>
    <row r="222">
      <c r="B222" s="14" t="n"/>
      <c r="C222" s="14" t="n"/>
      <c r="D222" s="14" t="n"/>
      <c r="E222" s="27" t="n"/>
      <c r="F222" s="14" t="n"/>
    </row>
    <row r="223">
      <c r="B223" s="14" t="n"/>
      <c r="C223" s="14" t="n"/>
      <c r="D223" s="14" t="n"/>
      <c r="E223" s="27" t="n"/>
      <c r="F223" s="14" t="n"/>
    </row>
    <row r="224">
      <c r="B224" s="14" t="n"/>
      <c r="C224" s="14" t="n"/>
      <c r="D224" s="14" t="n"/>
      <c r="E224" s="27" t="n"/>
      <c r="F224" s="14" t="n"/>
    </row>
    <row r="225">
      <c r="B225" s="14" t="n"/>
      <c r="C225" s="14" t="n"/>
      <c r="D225" s="14" t="n"/>
      <c r="E225" s="27" t="n"/>
      <c r="F225" s="14" t="n"/>
    </row>
    <row r="226">
      <c r="B226" s="14" t="n"/>
      <c r="C226" s="14" t="n"/>
      <c r="D226" s="14" t="n"/>
      <c r="E226" s="27" t="n"/>
      <c r="F226" s="14" t="n"/>
    </row>
    <row r="227">
      <c r="B227" s="14" t="n"/>
      <c r="C227" s="14" t="n"/>
      <c r="D227" s="14" t="n"/>
      <c r="E227" s="27" t="n"/>
      <c r="F227" s="14" t="n"/>
    </row>
    <row r="228">
      <c r="B228" s="14" t="n"/>
      <c r="C228" s="14" t="n"/>
      <c r="D228" s="14" t="n"/>
      <c r="E228" s="27" t="n"/>
      <c r="F228" s="14" t="n"/>
    </row>
    <row r="229">
      <c r="B229" s="14" t="n"/>
      <c r="C229" s="14" t="n"/>
      <c r="D229" s="14" t="n"/>
      <c r="E229" s="27" t="n"/>
      <c r="F229" s="14" t="n"/>
    </row>
    <row r="230">
      <c r="B230" s="14" t="n"/>
      <c r="C230" s="14" t="n"/>
      <c r="D230" s="14" t="n"/>
      <c r="E230" s="27" t="n"/>
      <c r="F230" s="14" t="n"/>
    </row>
    <row r="231">
      <c r="B231" s="14" t="n"/>
      <c r="C231" s="14" t="n"/>
      <c r="D231" s="14" t="n"/>
      <c r="E231" s="27" t="n"/>
      <c r="F231" s="14" t="n"/>
    </row>
    <row r="232">
      <c r="B232" s="14" t="n"/>
      <c r="C232" s="14" t="n"/>
      <c r="D232" s="14" t="n"/>
      <c r="E232" s="27" t="n"/>
      <c r="F232" s="14" t="n"/>
    </row>
    <row r="233">
      <c r="B233" s="14" t="n"/>
      <c r="C233" s="14" t="n"/>
      <c r="D233" s="14" t="n"/>
      <c r="E233" s="27" t="n"/>
      <c r="F233" s="14" t="n"/>
    </row>
    <row r="234">
      <c r="B234" s="14" t="n"/>
      <c r="C234" s="14" t="n"/>
      <c r="D234" s="14" t="n"/>
      <c r="E234" s="27" t="n"/>
      <c r="F234" s="14" t="n"/>
    </row>
    <row r="235">
      <c r="B235" s="14" t="n"/>
      <c r="C235" s="14" t="n"/>
      <c r="D235" s="14" t="n"/>
      <c r="E235" s="27" t="n"/>
      <c r="F235" s="14" t="n"/>
    </row>
    <row r="236">
      <c r="B236" s="14" t="n"/>
      <c r="C236" s="14" t="n"/>
      <c r="D236" s="14" t="n"/>
      <c r="E236" s="27" t="n"/>
      <c r="F236" s="14" t="n"/>
    </row>
    <row r="237">
      <c r="B237" s="14" t="n"/>
      <c r="C237" s="14" t="n"/>
      <c r="D237" s="14" t="n"/>
      <c r="E237" s="27" t="n"/>
      <c r="F237" s="14" t="n"/>
    </row>
    <row r="238">
      <c r="B238" s="14" t="n"/>
      <c r="C238" s="14" t="n"/>
      <c r="D238" s="14" t="n"/>
      <c r="E238" s="27" t="n"/>
      <c r="F238" s="14" t="n"/>
    </row>
    <row r="239">
      <c r="B239" s="14" t="n"/>
      <c r="C239" s="14" t="n"/>
      <c r="D239" s="14" t="n"/>
      <c r="E239" s="27" t="n"/>
      <c r="F239" s="14" t="n"/>
    </row>
    <row r="240">
      <c r="B240" s="14" t="n"/>
      <c r="C240" s="14" t="n"/>
      <c r="D240" s="14" t="n"/>
      <c r="E240" s="27" t="n"/>
      <c r="F240" s="14" t="n"/>
    </row>
    <row r="241">
      <c r="B241" s="14" t="n"/>
      <c r="C241" s="14" t="n"/>
      <c r="D241" s="14" t="n"/>
      <c r="E241" s="27" t="n"/>
      <c r="F241" s="14" t="n"/>
    </row>
    <row r="242">
      <c r="B242" s="14" t="n"/>
      <c r="C242" s="14" t="n"/>
      <c r="D242" s="14" t="n"/>
      <c r="E242" s="27" t="n"/>
      <c r="F242" s="14" t="n"/>
    </row>
    <row r="243">
      <c r="B243" s="14" t="n"/>
      <c r="C243" s="14" t="n"/>
      <c r="D243" s="14" t="n"/>
      <c r="E243" s="27" t="n"/>
      <c r="F243" s="14" t="n"/>
    </row>
    <row r="244">
      <c r="B244" s="14" t="n"/>
      <c r="C244" s="14" t="n"/>
      <c r="D244" s="14" t="n"/>
      <c r="E244" s="27" t="n"/>
      <c r="F244" s="14" t="n"/>
    </row>
    <row r="245">
      <c r="B245" s="14" t="n"/>
      <c r="C245" s="14" t="n"/>
      <c r="D245" s="14" t="n"/>
      <c r="E245" s="27" t="n"/>
      <c r="F245" s="14" t="n"/>
    </row>
    <row r="246">
      <c r="B246" s="14" t="n"/>
      <c r="C246" s="14" t="n"/>
      <c r="D246" s="14" t="n"/>
      <c r="E246" s="27" t="n"/>
      <c r="F246" s="14" t="n"/>
    </row>
    <row r="247">
      <c r="B247" s="14" t="n"/>
      <c r="C247" s="14" t="n"/>
      <c r="D247" s="14" t="n"/>
      <c r="E247" s="27" t="n"/>
      <c r="F247" s="14" t="n"/>
    </row>
    <row r="248">
      <c r="B248" s="14" t="n"/>
      <c r="C248" s="14" t="n"/>
      <c r="D248" s="14" t="n"/>
      <c r="E248" s="27" t="n"/>
      <c r="F248" s="14" t="n"/>
    </row>
    <row r="249">
      <c r="B249" s="14" t="n"/>
      <c r="C249" s="14" t="n"/>
      <c r="D249" s="14" t="n"/>
      <c r="E249" s="27" t="n"/>
      <c r="F249" s="14" t="n"/>
    </row>
    <row r="250">
      <c r="B250" s="14" t="n"/>
      <c r="C250" s="14" t="n"/>
      <c r="D250" s="14" t="n"/>
      <c r="E250" s="27" t="n"/>
      <c r="F250" s="14" t="n"/>
    </row>
    <row r="251">
      <c r="B251" s="14" t="n"/>
      <c r="C251" s="14" t="n"/>
      <c r="D251" s="14" t="n"/>
      <c r="E251" s="27" t="n"/>
      <c r="F251" s="14" t="n"/>
    </row>
    <row r="252">
      <c r="B252" s="14" t="n"/>
      <c r="C252" s="14" t="n"/>
      <c r="D252" s="14" t="n"/>
      <c r="E252" s="27" t="n"/>
      <c r="F252" s="14" t="n"/>
    </row>
    <row r="253">
      <c r="B253" s="14" t="n"/>
      <c r="C253" s="14" t="n"/>
      <c r="D253" s="14" t="n"/>
      <c r="E253" s="27" t="n"/>
      <c r="F253" s="14" t="n"/>
    </row>
    <row r="254">
      <c r="B254" s="14" t="n"/>
      <c r="C254" s="14" t="n"/>
      <c r="D254" s="14" t="n"/>
      <c r="E254" s="27" t="n"/>
      <c r="F254" s="14" t="n"/>
    </row>
    <row r="255">
      <c r="B255" s="14" t="n"/>
      <c r="C255" s="14" t="n"/>
      <c r="D255" s="14" t="n"/>
      <c r="E255" s="27" t="n"/>
      <c r="F255" s="14" t="n"/>
    </row>
    <row r="256">
      <c r="B256" s="14" t="n"/>
      <c r="C256" s="14" t="n"/>
      <c r="D256" s="14" t="n"/>
      <c r="E256" s="27" t="n"/>
      <c r="F256" s="14" t="n"/>
    </row>
    <row r="257">
      <c r="B257" s="14" t="n"/>
      <c r="C257" s="14" t="n"/>
      <c r="D257" s="14" t="n"/>
      <c r="E257" s="27" t="n"/>
      <c r="F257" s="14" t="n"/>
    </row>
    <row r="258">
      <c r="B258" s="14" t="n"/>
      <c r="C258" s="14" t="n"/>
      <c r="D258" s="14" t="n"/>
      <c r="E258" s="27" t="n"/>
      <c r="F258" s="14" t="n"/>
    </row>
    <row r="259">
      <c r="B259" s="14" t="n"/>
      <c r="C259" s="14" t="n"/>
      <c r="D259" s="14" t="n"/>
      <c r="E259" s="27" t="n"/>
      <c r="F259" s="14" t="n"/>
    </row>
  </sheetData>
  <mergeCells count="18">
    <mergeCell ref="B6:C6"/>
    <mergeCell ref="K7:L7"/>
    <mergeCell ref="N3:O3"/>
    <mergeCell ref="E7:F7"/>
    <mergeCell ref="B3:C3"/>
    <mergeCell ref="H7:I7"/>
    <mergeCell ref="N7:O7"/>
    <mergeCell ref="B58:F58"/>
    <mergeCell ref="K4:L6"/>
    <mergeCell ref="D26:F26"/>
    <mergeCell ref="A1:R1"/>
    <mergeCell ref="H26:J26"/>
    <mergeCell ref="L26:N26"/>
    <mergeCell ref="H4:I6"/>
    <mergeCell ref="N4:O6"/>
    <mergeCell ref="E3:F3"/>
    <mergeCell ref="K3:L3"/>
    <mergeCell ref="H3:I3"/>
  </mergeCells>
  <conditionalFormatting sqref="C60:C259">
    <cfRule type="expression" priority="1" dxfId="0">
      <formula>C60="Доход"</formula>
    </cfRule>
    <cfRule type="expression" priority="2" dxfId="1">
      <formula>C60="Расход"</formula>
    </cfRule>
    <cfRule type="expression" priority="3" dxfId="2">
      <formula>C60="Накопление"</formula>
    </cfRule>
    <cfRule type="expression" priority="4" dxfId="3">
      <formula>C60="Долг"</formula>
    </cfRule>
  </conditionalFormatting>
  <dataValidations count="2">
    <dataValidation sqref="C60:C259" showDropDown="0" showInputMessage="0" showErrorMessage="0" allowBlank="1" type="list">
      <formula1>=Справочник!$D$3:$D$6</formula1>
    </dataValidation>
    <dataValidation sqref="D60:D259" showDropDown="0" showInputMessage="0" showErrorMessage="0" allowBlank="1" type="list">
      <formula1>=Справочник!$J$3:$J$18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AG3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26" customWidth="1" min="9" max="9"/>
    <col width="8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8" t="inlineStr">
        <is>
          <t>🌿  ТРЕКЕР ПРИВЫЧЕК</t>
        </is>
      </c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</row>
    <row r="2">
      <c r="A2" s="13" t="inlineStr">
        <is>
          <t>Дата начала месяца:</t>
        </is>
      </c>
      <c r="B2" s="30" t="n">
        <v>46204</v>
      </c>
    </row>
    <row r="4">
      <c r="B4" s="31">
        <f>UPPER(TEXT($B$2,"mmmm"))&amp;CHAR(10)&amp;TEXT($B$2,"d mmmm yyyy")</f>
        <v/>
      </c>
      <c r="C4" s="3" t="inlineStr">
        <is>
          <t>НЕДЕЛЯ 1</t>
        </is>
      </c>
      <c r="D4" s="4" t="n"/>
      <c r="E4" s="4" t="n"/>
      <c r="F4" s="4" t="n"/>
      <c r="G4" s="4" t="n"/>
      <c r="H4" s="4" t="n"/>
      <c r="I4" s="4" t="n"/>
      <c r="J4" s="7" t="inlineStr">
        <is>
          <t>НЕДЕЛЯ 2</t>
        </is>
      </c>
      <c r="K4" s="8" t="n"/>
      <c r="L4" s="8" t="n"/>
      <c r="M4" s="8" t="n"/>
      <c r="N4" s="8" t="n"/>
      <c r="O4" s="8" t="n"/>
      <c r="P4" s="8" t="n"/>
      <c r="Q4" s="9" t="inlineStr">
        <is>
          <t>НЕДЕЛЯ 3</t>
        </is>
      </c>
      <c r="R4" s="10" t="n"/>
      <c r="S4" s="10" t="n"/>
      <c r="T4" s="10" t="n"/>
      <c r="U4" s="10" t="n"/>
      <c r="V4" s="10" t="n"/>
      <c r="W4" s="10" t="n"/>
      <c r="X4" s="5" t="inlineStr">
        <is>
          <t>НЕДЕЛЯ 4</t>
        </is>
      </c>
      <c r="Y4" s="6" t="n"/>
      <c r="Z4" s="6" t="n"/>
      <c r="AA4" s="6" t="n"/>
      <c r="AB4" s="6" t="n"/>
      <c r="AC4" s="6" t="n"/>
      <c r="AD4" s="6" t="n"/>
      <c r="AE4" s="7" t="inlineStr">
        <is>
          <t>ДОП.</t>
        </is>
      </c>
      <c r="AF4" s="8" t="n"/>
      <c r="AG4" s="8" t="n"/>
    </row>
    <row r="5">
      <c r="B5" s="17" t="n"/>
      <c r="C5" s="24">
        <f>TEXT($B$2+0,"ddd")</f>
        <v/>
      </c>
      <c r="D5" s="24">
        <f>TEXT($B$2+1,"ddd")</f>
        <v/>
      </c>
      <c r="E5" s="24">
        <f>TEXT($B$2+2,"ddd")</f>
        <v/>
      </c>
      <c r="F5" s="24">
        <f>TEXT($B$2+3,"ddd")</f>
        <v/>
      </c>
      <c r="G5" s="24">
        <f>TEXT($B$2+4,"ddd")</f>
        <v/>
      </c>
      <c r="H5" s="24">
        <f>TEXT($B$2+5,"ddd")</f>
        <v/>
      </c>
      <c r="I5" s="24">
        <f>TEXT($B$2+6,"ddd")</f>
        <v/>
      </c>
      <c r="J5" s="24">
        <f>TEXT($B$2+7,"ddd")</f>
        <v/>
      </c>
      <c r="K5" s="24">
        <f>TEXT($B$2+8,"ddd")</f>
        <v/>
      </c>
      <c r="L5" s="24">
        <f>TEXT($B$2+9,"ddd")</f>
        <v/>
      </c>
      <c r="M5" s="24">
        <f>TEXT($B$2+10,"ddd")</f>
        <v/>
      </c>
      <c r="N5" s="24">
        <f>TEXT($B$2+11,"ddd")</f>
        <v/>
      </c>
      <c r="O5" s="24">
        <f>TEXT($B$2+12,"ddd")</f>
        <v/>
      </c>
      <c r="P5" s="24">
        <f>TEXT($B$2+13,"ddd")</f>
        <v/>
      </c>
      <c r="Q5" s="24">
        <f>TEXT($B$2+14,"ddd")</f>
        <v/>
      </c>
      <c r="R5" s="24">
        <f>TEXT($B$2+15,"ddd")</f>
        <v/>
      </c>
      <c r="S5" s="24">
        <f>TEXT($B$2+16,"ddd")</f>
        <v/>
      </c>
      <c r="T5" s="24">
        <f>TEXT($B$2+17,"ddd")</f>
        <v/>
      </c>
      <c r="U5" s="24">
        <f>TEXT($B$2+18,"ddd")</f>
        <v/>
      </c>
      <c r="V5" s="24">
        <f>TEXT($B$2+19,"ddd")</f>
        <v/>
      </c>
      <c r="W5" s="24">
        <f>TEXT($B$2+20,"ddd")</f>
        <v/>
      </c>
      <c r="X5" s="24">
        <f>TEXT($B$2+21,"ddd")</f>
        <v/>
      </c>
      <c r="Y5" s="24">
        <f>TEXT($B$2+22,"ddd")</f>
        <v/>
      </c>
      <c r="Z5" s="24">
        <f>TEXT($B$2+23,"ddd")</f>
        <v/>
      </c>
      <c r="AA5" s="24">
        <f>TEXT($B$2+24,"ddd")</f>
        <v/>
      </c>
      <c r="AB5" s="24">
        <f>TEXT($B$2+25,"ddd")</f>
        <v/>
      </c>
      <c r="AC5" s="24">
        <f>TEXT($B$2+26,"ddd")</f>
        <v/>
      </c>
      <c r="AD5" s="24">
        <f>TEXT($B$2+27,"ddd")</f>
        <v/>
      </c>
      <c r="AE5" s="24">
        <f>TEXT($B$2+28,"ddd")</f>
        <v/>
      </c>
      <c r="AF5" s="24">
        <f>TEXT($B$2+29,"ddd")</f>
        <v/>
      </c>
      <c r="AG5" s="24">
        <f>TEXT($B$2+30,"ddd")</f>
        <v/>
      </c>
    </row>
    <row r="6">
      <c r="C6" s="32">
        <f>DAY($B$2+0)</f>
        <v/>
      </c>
      <c r="D6" s="32">
        <f>DAY($B$2+1)</f>
        <v/>
      </c>
      <c r="E6" s="32">
        <f>DAY($B$2+2)</f>
        <v/>
      </c>
      <c r="F6" s="32">
        <f>DAY($B$2+3)</f>
        <v/>
      </c>
      <c r="G6" s="32">
        <f>DAY($B$2+4)</f>
        <v/>
      </c>
      <c r="H6" s="32">
        <f>DAY($B$2+5)</f>
        <v/>
      </c>
      <c r="I6" s="32">
        <f>DAY($B$2+6)</f>
        <v/>
      </c>
      <c r="J6" s="32">
        <f>DAY($B$2+7)</f>
        <v/>
      </c>
      <c r="K6" s="32">
        <f>DAY($B$2+8)</f>
        <v/>
      </c>
      <c r="L6" s="32">
        <f>DAY($B$2+9)</f>
        <v/>
      </c>
      <c r="M6" s="32">
        <f>DAY($B$2+10)</f>
        <v/>
      </c>
      <c r="N6" s="32">
        <f>DAY($B$2+11)</f>
        <v/>
      </c>
      <c r="O6" s="32">
        <f>DAY($B$2+12)</f>
        <v/>
      </c>
      <c r="P6" s="32">
        <f>DAY($B$2+13)</f>
        <v/>
      </c>
      <c r="Q6" s="32">
        <f>DAY($B$2+14)</f>
        <v/>
      </c>
      <c r="R6" s="32">
        <f>DAY($B$2+15)</f>
        <v/>
      </c>
      <c r="S6" s="32">
        <f>DAY($B$2+16)</f>
        <v/>
      </c>
      <c r="T6" s="32">
        <f>DAY($B$2+17)</f>
        <v/>
      </c>
      <c r="U6" s="32">
        <f>DAY($B$2+18)</f>
        <v/>
      </c>
      <c r="V6" s="32">
        <f>DAY($B$2+19)</f>
        <v/>
      </c>
      <c r="W6" s="32">
        <f>DAY($B$2+20)</f>
        <v/>
      </c>
      <c r="X6" s="32">
        <f>DAY($B$2+21)</f>
        <v/>
      </c>
      <c r="Y6" s="32">
        <f>DAY($B$2+22)</f>
        <v/>
      </c>
      <c r="Z6" s="32">
        <f>DAY($B$2+23)</f>
        <v/>
      </c>
      <c r="AA6" s="32">
        <f>DAY($B$2+24)</f>
        <v/>
      </c>
      <c r="AB6" s="32">
        <f>DAY($B$2+25)</f>
        <v/>
      </c>
      <c r="AC6" s="32">
        <f>DAY($B$2+26)</f>
        <v/>
      </c>
      <c r="AD6" s="32">
        <f>DAY($B$2+27)</f>
        <v/>
      </c>
      <c r="AE6" s="32">
        <f>DAY($B$2+28)</f>
        <v/>
      </c>
      <c r="AF6" s="32">
        <f>DAY($B$2+29)</f>
        <v/>
      </c>
      <c r="AG6" s="32">
        <f>DAY($B$2+30)</f>
        <v/>
      </c>
    </row>
    <row r="7">
      <c r="A7" s="33" t="n">
        <v>1</v>
      </c>
      <c r="B7" s="14" t="inlineStr">
        <is>
          <t>💧 2 литра воды</t>
        </is>
      </c>
      <c r="C7" s="34" t="b">
        <v>0</v>
      </c>
      <c r="D7" s="34" t="b">
        <v>0</v>
      </c>
      <c r="E7" s="34" t="b">
        <v>0</v>
      </c>
      <c r="F7" s="34" t="b">
        <v>0</v>
      </c>
      <c r="G7" s="34" t="b">
        <v>0</v>
      </c>
      <c r="H7" s="34" t="b">
        <v>0</v>
      </c>
      <c r="I7" s="34" t="b">
        <v>0</v>
      </c>
      <c r="J7" s="34" t="b">
        <v>0</v>
      </c>
      <c r="K7" s="34" t="b">
        <v>0</v>
      </c>
      <c r="L7" s="34" t="b">
        <v>0</v>
      </c>
      <c r="M7" s="34" t="b">
        <v>0</v>
      </c>
      <c r="N7" s="34" t="b">
        <v>0</v>
      </c>
      <c r="O7" s="34" t="b">
        <v>0</v>
      </c>
      <c r="P7" s="34" t="b">
        <v>0</v>
      </c>
      <c r="Q7" s="34" t="b">
        <v>0</v>
      </c>
      <c r="R7" s="34" t="b">
        <v>0</v>
      </c>
      <c r="S7" s="34" t="b">
        <v>0</v>
      </c>
      <c r="T7" s="34" t="b">
        <v>0</v>
      </c>
      <c r="U7" s="34" t="b">
        <v>0</v>
      </c>
      <c r="V7" s="34" t="b">
        <v>0</v>
      </c>
      <c r="W7" s="34" t="b">
        <v>0</v>
      </c>
      <c r="X7" s="34" t="b">
        <v>0</v>
      </c>
      <c r="Y7" s="34" t="b">
        <v>0</v>
      </c>
      <c r="Z7" s="34" t="b">
        <v>0</v>
      </c>
      <c r="AA7" s="34" t="b">
        <v>0</v>
      </c>
      <c r="AB7" s="34" t="b">
        <v>0</v>
      </c>
      <c r="AC7" s="34" t="b">
        <v>0</v>
      </c>
      <c r="AD7" s="34" t="b">
        <v>0</v>
      </c>
      <c r="AE7" s="34" t="b">
        <v>0</v>
      </c>
      <c r="AF7" s="34" t="b">
        <v>0</v>
      </c>
      <c r="AG7" s="34" t="b">
        <v>0</v>
      </c>
    </row>
    <row r="8">
      <c r="A8" s="33" t="n">
        <v>2</v>
      </c>
      <c r="B8" s="14" t="inlineStr">
        <is>
          <t>🏃 Спортзал в 19:00</t>
        </is>
      </c>
      <c r="C8" s="34" t="b">
        <v>0</v>
      </c>
      <c r="D8" s="34" t="b">
        <v>0</v>
      </c>
      <c r="E8" s="34" t="b">
        <v>0</v>
      </c>
      <c r="F8" s="34" t="b">
        <v>0</v>
      </c>
      <c r="G8" s="34" t="b">
        <v>0</v>
      </c>
      <c r="H8" s="34" t="b">
        <v>0</v>
      </c>
      <c r="I8" s="34" t="b">
        <v>0</v>
      </c>
      <c r="J8" s="34" t="b">
        <v>0</v>
      </c>
      <c r="K8" s="34" t="b">
        <v>0</v>
      </c>
      <c r="L8" s="34" t="b">
        <v>0</v>
      </c>
      <c r="M8" s="34" t="b">
        <v>0</v>
      </c>
      <c r="N8" s="34" t="b">
        <v>0</v>
      </c>
      <c r="O8" s="34" t="b">
        <v>0</v>
      </c>
      <c r="P8" s="34" t="b">
        <v>0</v>
      </c>
      <c r="Q8" s="34" t="b">
        <v>0</v>
      </c>
      <c r="R8" s="34" t="b">
        <v>0</v>
      </c>
      <c r="S8" s="34" t="b">
        <v>0</v>
      </c>
      <c r="T8" s="34" t="b">
        <v>0</v>
      </c>
      <c r="U8" s="34" t="b">
        <v>0</v>
      </c>
      <c r="V8" s="34" t="b">
        <v>0</v>
      </c>
      <c r="W8" s="34" t="b">
        <v>0</v>
      </c>
      <c r="X8" s="34" t="b">
        <v>0</v>
      </c>
      <c r="Y8" s="34" t="b">
        <v>0</v>
      </c>
      <c r="Z8" s="34" t="b">
        <v>0</v>
      </c>
      <c r="AA8" s="34" t="b">
        <v>0</v>
      </c>
      <c r="AB8" s="34" t="b">
        <v>0</v>
      </c>
      <c r="AC8" s="34" t="b">
        <v>0</v>
      </c>
      <c r="AD8" s="34" t="b">
        <v>0</v>
      </c>
      <c r="AE8" s="34" t="b">
        <v>0</v>
      </c>
      <c r="AF8" s="34" t="b">
        <v>0</v>
      </c>
      <c r="AG8" s="34" t="b">
        <v>0</v>
      </c>
    </row>
    <row r="9">
      <c r="A9" s="33" t="n">
        <v>3</v>
      </c>
      <c r="B9" s="14" t="inlineStr">
        <is>
          <t>📖 Чтение 30 мин</t>
        </is>
      </c>
      <c r="C9" s="34" t="b">
        <v>0</v>
      </c>
      <c r="D9" s="34" t="b">
        <v>0</v>
      </c>
      <c r="E9" s="34" t="b">
        <v>0</v>
      </c>
      <c r="F9" s="34" t="b">
        <v>0</v>
      </c>
      <c r="G9" s="34" t="b">
        <v>0</v>
      </c>
      <c r="H9" s="34" t="b">
        <v>0</v>
      </c>
      <c r="I9" s="34" t="b">
        <v>0</v>
      </c>
      <c r="J9" s="34" t="b">
        <v>0</v>
      </c>
      <c r="K9" s="34" t="b">
        <v>0</v>
      </c>
      <c r="L9" s="34" t="b">
        <v>0</v>
      </c>
      <c r="M9" s="34" t="b">
        <v>0</v>
      </c>
      <c r="N9" s="34" t="b">
        <v>0</v>
      </c>
      <c r="O9" s="34" t="b">
        <v>0</v>
      </c>
      <c r="P9" s="34" t="b">
        <v>0</v>
      </c>
      <c r="Q9" s="34" t="b">
        <v>0</v>
      </c>
      <c r="R9" s="34" t="b">
        <v>0</v>
      </c>
      <c r="S9" s="34" t="b">
        <v>0</v>
      </c>
      <c r="T9" s="34" t="b">
        <v>0</v>
      </c>
      <c r="U9" s="34" t="b">
        <v>0</v>
      </c>
      <c r="V9" s="34" t="b">
        <v>0</v>
      </c>
      <c r="W9" s="34" t="b">
        <v>0</v>
      </c>
      <c r="X9" s="34" t="b">
        <v>0</v>
      </c>
      <c r="Y9" s="34" t="b">
        <v>0</v>
      </c>
      <c r="Z9" s="34" t="b">
        <v>0</v>
      </c>
      <c r="AA9" s="34" t="b">
        <v>0</v>
      </c>
      <c r="AB9" s="34" t="b">
        <v>0</v>
      </c>
      <c r="AC9" s="34" t="b">
        <v>0</v>
      </c>
      <c r="AD9" s="34" t="b">
        <v>0</v>
      </c>
      <c r="AE9" s="34" t="b">
        <v>0</v>
      </c>
      <c r="AF9" s="34" t="b">
        <v>0</v>
      </c>
      <c r="AG9" s="34" t="b">
        <v>0</v>
      </c>
    </row>
    <row r="10">
      <c r="A10" s="33" t="n">
        <v>4</v>
      </c>
      <c r="B10" s="14" t="inlineStr">
        <is>
          <t>📓 Ведение дневника</t>
        </is>
      </c>
      <c r="C10" s="34" t="b">
        <v>0</v>
      </c>
      <c r="D10" s="34" t="b">
        <v>0</v>
      </c>
      <c r="E10" s="34" t="b">
        <v>0</v>
      </c>
      <c r="F10" s="34" t="b">
        <v>0</v>
      </c>
      <c r="G10" s="34" t="b">
        <v>0</v>
      </c>
      <c r="H10" s="34" t="b">
        <v>0</v>
      </c>
      <c r="I10" s="34" t="b">
        <v>0</v>
      </c>
      <c r="J10" s="34" t="b">
        <v>0</v>
      </c>
      <c r="K10" s="34" t="b">
        <v>0</v>
      </c>
      <c r="L10" s="34" t="b">
        <v>0</v>
      </c>
      <c r="M10" s="34" t="b">
        <v>0</v>
      </c>
      <c r="N10" s="34" t="b">
        <v>0</v>
      </c>
      <c r="O10" s="34" t="b">
        <v>0</v>
      </c>
      <c r="P10" s="34" t="b">
        <v>0</v>
      </c>
      <c r="Q10" s="34" t="b">
        <v>0</v>
      </c>
      <c r="R10" s="34" t="b">
        <v>0</v>
      </c>
      <c r="S10" s="34" t="b">
        <v>0</v>
      </c>
      <c r="T10" s="34" t="b">
        <v>0</v>
      </c>
      <c r="U10" s="34" t="b">
        <v>0</v>
      </c>
      <c r="V10" s="34" t="b">
        <v>0</v>
      </c>
      <c r="W10" s="34" t="b">
        <v>0</v>
      </c>
      <c r="X10" s="34" t="b">
        <v>0</v>
      </c>
      <c r="Y10" s="34" t="b">
        <v>0</v>
      </c>
      <c r="Z10" s="34" t="b">
        <v>0</v>
      </c>
      <c r="AA10" s="34" t="b">
        <v>0</v>
      </c>
      <c r="AB10" s="34" t="b">
        <v>0</v>
      </c>
      <c r="AC10" s="34" t="b">
        <v>0</v>
      </c>
      <c r="AD10" s="34" t="b">
        <v>0</v>
      </c>
      <c r="AE10" s="34" t="b">
        <v>0</v>
      </c>
      <c r="AF10" s="34" t="b">
        <v>0</v>
      </c>
      <c r="AG10" s="34" t="b">
        <v>0</v>
      </c>
    </row>
    <row r="11">
      <c r="A11" s="33" t="n">
        <v>5</v>
      </c>
      <c r="B11" s="14" t="inlineStr">
        <is>
          <t>💼 Работа — 5 часов</t>
        </is>
      </c>
      <c r="C11" s="34" t="b">
        <v>0</v>
      </c>
      <c r="D11" s="34" t="b">
        <v>0</v>
      </c>
      <c r="E11" s="34" t="b">
        <v>0</v>
      </c>
      <c r="F11" s="34" t="b">
        <v>0</v>
      </c>
      <c r="G11" s="34" t="b">
        <v>0</v>
      </c>
      <c r="H11" s="34" t="b">
        <v>0</v>
      </c>
      <c r="I11" s="34" t="b">
        <v>0</v>
      </c>
      <c r="J11" s="34" t="b">
        <v>0</v>
      </c>
      <c r="K11" s="34" t="b">
        <v>0</v>
      </c>
      <c r="L11" s="34" t="b">
        <v>0</v>
      </c>
      <c r="M11" s="34" t="b">
        <v>0</v>
      </c>
      <c r="N11" s="34" t="b">
        <v>0</v>
      </c>
      <c r="O11" s="34" t="b">
        <v>0</v>
      </c>
      <c r="P11" s="34" t="b">
        <v>0</v>
      </c>
      <c r="Q11" s="34" t="b">
        <v>0</v>
      </c>
      <c r="R11" s="34" t="b">
        <v>0</v>
      </c>
      <c r="S11" s="34" t="b">
        <v>0</v>
      </c>
      <c r="T11" s="34" t="b">
        <v>0</v>
      </c>
      <c r="U11" s="34" t="b">
        <v>0</v>
      </c>
      <c r="V11" s="34" t="b">
        <v>0</v>
      </c>
      <c r="W11" s="34" t="b">
        <v>0</v>
      </c>
      <c r="X11" s="34" t="b">
        <v>0</v>
      </c>
      <c r="Y11" s="34" t="b">
        <v>0</v>
      </c>
      <c r="Z11" s="34" t="b">
        <v>0</v>
      </c>
      <c r="AA11" s="34" t="b">
        <v>0</v>
      </c>
      <c r="AB11" s="34" t="b">
        <v>0</v>
      </c>
      <c r="AC11" s="34" t="b">
        <v>0</v>
      </c>
      <c r="AD11" s="34" t="b">
        <v>0</v>
      </c>
      <c r="AE11" s="34" t="b">
        <v>0</v>
      </c>
      <c r="AF11" s="34" t="b">
        <v>0</v>
      </c>
      <c r="AG11" s="34" t="b">
        <v>0</v>
      </c>
    </row>
    <row r="12">
      <c r="A12" s="33" t="n">
        <v>6</v>
      </c>
      <c r="B12" s="14" t="inlineStr">
        <is>
          <t>💪 Подработка — 2 часа</t>
        </is>
      </c>
      <c r="C12" s="34" t="b">
        <v>0</v>
      </c>
      <c r="D12" s="34" t="b">
        <v>0</v>
      </c>
      <c r="E12" s="34" t="b">
        <v>0</v>
      </c>
      <c r="F12" s="34" t="b">
        <v>0</v>
      </c>
      <c r="G12" s="34" t="b">
        <v>0</v>
      </c>
      <c r="H12" s="34" t="b">
        <v>0</v>
      </c>
      <c r="I12" s="34" t="b">
        <v>0</v>
      </c>
      <c r="J12" s="34" t="b">
        <v>0</v>
      </c>
      <c r="K12" s="34" t="b">
        <v>0</v>
      </c>
      <c r="L12" s="34" t="b">
        <v>0</v>
      </c>
      <c r="M12" s="34" t="b">
        <v>0</v>
      </c>
      <c r="N12" s="34" t="b">
        <v>0</v>
      </c>
      <c r="O12" s="34" t="b">
        <v>0</v>
      </c>
      <c r="P12" s="34" t="b">
        <v>0</v>
      </c>
      <c r="Q12" s="34" t="b">
        <v>0</v>
      </c>
      <c r="R12" s="34" t="b">
        <v>0</v>
      </c>
      <c r="S12" s="34" t="b">
        <v>0</v>
      </c>
      <c r="T12" s="34" t="b">
        <v>0</v>
      </c>
      <c r="U12" s="34" t="b">
        <v>0</v>
      </c>
      <c r="V12" s="34" t="b">
        <v>0</v>
      </c>
      <c r="W12" s="34" t="b">
        <v>0</v>
      </c>
      <c r="X12" s="34" t="b">
        <v>0</v>
      </c>
      <c r="Y12" s="34" t="b">
        <v>0</v>
      </c>
      <c r="Z12" s="34" t="b">
        <v>0</v>
      </c>
      <c r="AA12" s="34" t="b">
        <v>0</v>
      </c>
      <c r="AB12" s="34" t="b">
        <v>0</v>
      </c>
      <c r="AC12" s="34" t="b">
        <v>0</v>
      </c>
      <c r="AD12" s="34" t="b">
        <v>0</v>
      </c>
      <c r="AE12" s="34" t="b">
        <v>0</v>
      </c>
      <c r="AF12" s="34" t="b">
        <v>0</v>
      </c>
      <c r="AG12" s="34" t="b">
        <v>0</v>
      </c>
    </row>
    <row r="13">
      <c r="A13" s="33" t="n">
        <v>7</v>
      </c>
      <c r="B13" s="14" t="inlineStr">
        <is>
          <t>🧘 Растяжка 15 мин</t>
        </is>
      </c>
      <c r="C13" s="34" t="b">
        <v>0</v>
      </c>
      <c r="D13" s="34" t="b">
        <v>0</v>
      </c>
      <c r="E13" s="34" t="b">
        <v>0</v>
      </c>
      <c r="F13" s="34" t="b">
        <v>0</v>
      </c>
      <c r="G13" s="34" t="b">
        <v>0</v>
      </c>
      <c r="H13" s="34" t="b">
        <v>0</v>
      </c>
      <c r="I13" s="34" t="b">
        <v>0</v>
      </c>
      <c r="J13" s="34" t="b">
        <v>0</v>
      </c>
      <c r="K13" s="34" t="b">
        <v>0</v>
      </c>
      <c r="L13" s="34" t="b">
        <v>0</v>
      </c>
      <c r="M13" s="34" t="b">
        <v>0</v>
      </c>
      <c r="N13" s="34" t="b">
        <v>0</v>
      </c>
      <c r="O13" s="34" t="b">
        <v>0</v>
      </c>
      <c r="P13" s="34" t="b">
        <v>0</v>
      </c>
      <c r="Q13" s="34" t="b">
        <v>0</v>
      </c>
      <c r="R13" s="34" t="b">
        <v>0</v>
      </c>
      <c r="S13" s="34" t="b">
        <v>0</v>
      </c>
      <c r="T13" s="34" t="b">
        <v>0</v>
      </c>
      <c r="U13" s="34" t="b">
        <v>0</v>
      </c>
      <c r="V13" s="34" t="b">
        <v>0</v>
      </c>
      <c r="W13" s="34" t="b">
        <v>0</v>
      </c>
      <c r="X13" s="34" t="b">
        <v>0</v>
      </c>
      <c r="Y13" s="34" t="b">
        <v>0</v>
      </c>
      <c r="Z13" s="34" t="b">
        <v>0</v>
      </c>
      <c r="AA13" s="34" t="b">
        <v>0</v>
      </c>
      <c r="AB13" s="34" t="b">
        <v>0</v>
      </c>
      <c r="AC13" s="34" t="b">
        <v>0</v>
      </c>
      <c r="AD13" s="34" t="b">
        <v>0</v>
      </c>
      <c r="AE13" s="34" t="b">
        <v>0</v>
      </c>
      <c r="AF13" s="34" t="b">
        <v>0</v>
      </c>
      <c r="AG13" s="34" t="b">
        <v>0</v>
      </c>
    </row>
    <row r="14">
      <c r="A14" s="33" t="n">
        <v>8</v>
      </c>
      <c r="B14" s="14" t="inlineStr">
        <is>
          <t>🙏 Практика благодарности</t>
        </is>
      </c>
      <c r="C14" s="34" t="b">
        <v>0</v>
      </c>
      <c r="D14" s="34" t="b">
        <v>0</v>
      </c>
      <c r="E14" s="34" t="b">
        <v>0</v>
      </c>
      <c r="F14" s="34" t="b">
        <v>0</v>
      </c>
      <c r="G14" s="34" t="b">
        <v>0</v>
      </c>
      <c r="H14" s="34" t="b">
        <v>0</v>
      </c>
      <c r="I14" s="34" t="b">
        <v>0</v>
      </c>
      <c r="J14" s="34" t="b">
        <v>0</v>
      </c>
      <c r="K14" s="34" t="b">
        <v>0</v>
      </c>
      <c r="L14" s="34" t="b">
        <v>0</v>
      </c>
      <c r="M14" s="34" t="b">
        <v>0</v>
      </c>
      <c r="N14" s="34" t="b">
        <v>0</v>
      </c>
      <c r="O14" s="34" t="b">
        <v>0</v>
      </c>
      <c r="P14" s="34" t="b">
        <v>0</v>
      </c>
      <c r="Q14" s="34" t="b">
        <v>0</v>
      </c>
      <c r="R14" s="34" t="b">
        <v>0</v>
      </c>
      <c r="S14" s="34" t="b">
        <v>0</v>
      </c>
      <c r="T14" s="34" t="b">
        <v>0</v>
      </c>
      <c r="U14" s="34" t="b">
        <v>0</v>
      </c>
      <c r="V14" s="34" t="b">
        <v>0</v>
      </c>
      <c r="W14" s="34" t="b">
        <v>0</v>
      </c>
      <c r="X14" s="34" t="b">
        <v>0</v>
      </c>
      <c r="Y14" s="34" t="b">
        <v>0</v>
      </c>
      <c r="Z14" s="34" t="b">
        <v>0</v>
      </c>
      <c r="AA14" s="34" t="b">
        <v>0</v>
      </c>
      <c r="AB14" s="34" t="b">
        <v>0</v>
      </c>
      <c r="AC14" s="34" t="b">
        <v>0</v>
      </c>
      <c r="AD14" s="34" t="b">
        <v>0</v>
      </c>
      <c r="AE14" s="34" t="b">
        <v>0</v>
      </c>
      <c r="AF14" s="34" t="b">
        <v>0</v>
      </c>
      <c r="AG14" s="34" t="b">
        <v>0</v>
      </c>
    </row>
    <row r="15">
      <c r="A15" s="33" t="n">
        <v>9</v>
      </c>
      <c r="B15" s="14" t="n"/>
      <c r="C15" s="34" t="b">
        <v>0</v>
      </c>
      <c r="D15" s="34" t="b">
        <v>0</v>
      </c>
      <c r="E15" s="34" t="b">
        <v>0</v>
      </c>
      <c r="F15" s="34" t="b">
        <v>0</v>
      </c>
      <c r="G15" s="34" t="b">
        <v>0</v>
      </c>
      <c r="H15" s="34" t="b">
        <v>0</v>
      </c>
      <c r="I15" s="34" t="b">
        <v>0</v>
      </c>
      <c r="J15" s="34" t="b">
        <v>0</v>
      </c>
      <c r="K15" s="34" t="b">
        <v>0</v>
      </c>
      <c r="L15" s="34" t="b">
        <v>0</v>
      </c>
      <c r="M15" s="34" t="b">
        <v>0</v>
      </c>
      <c r="N15" s="34" t="b">
        <v>0</v>
      </c>
      <c r="O15" s="34" t="b">
        <v>0</v>
      </c>
      <c r="P15" s="34" t="b">
        <v>0</v>
      </c>
      <c r="Q15" s="34" t="b">
        <v>0</v>
      </c>
      <c r="R15" s="34" t="b">
        <v>0</v>
      </c>
      <c r="S15" s="34" t="b">
        <v>0</v>
      </c>
      <c r="T15" s="34" t="b">
        <v>0</v>
      </c>
      <c r="U15" s="34" t="b">
        <v>0</v>
      </c>
      <c r="V15" s="34" t="b">
        <v>0</v>
      </c>
      <c r="W15" s="34" t="b">
        <v>0</v>
      </c>
      <c r="X15" s="34" t="b">
        <v>0</v>
      </c>
      <c r="Y15" s="34" t="b">
        <v>0</v>
      </c>
      <c r="Z15" s="34" t="b">
        <v>0</v>
      </c>
      <c r="AA15" s="34" t="b">
        <v>0</v>
      </c>
      <c r="AB15" s="34" t="b">
        <v>0</v>
      </c>
      <c r="AC15" s="34" t="b">
        <v>0</v>
      </c>
      <c r="AD15" s="34" t="b">
        <v>0</v>
      </c>
      <c r="AE15" s="34" t="b">
        <v>0</v>
      </c>
      <c r="AF15" s="34" t="b">
        <v>0</v>
      </c>
      <c r="AG15" s="34" t="b">
        <v>0</v>
      </c>
    </row>
    <row r="16">
      <c r="A16" s="33" t="n">
        <v>10</v>
      </c>
      <c r="B16" s="14" t="n"/>
      <c r="C16" s="34" t="b">
        <v>0</v>
      </c>
      <c r="D16" s="34" t="b">
        <v>0</v>
      </c>
      <c r="E16" s="34" t="b">
        <v>0</v>
      </c>
      <c r="F16" s="34" t="b">
        <v>0</v>
      </c>
      <c r="G16" s="34" t="b">
        <v>0</v>
      </c>
      <c r="H16" s="34" t="b">
        <v>0</v>
      </c>
      <c r="I16" s="34" t="b">
        <v>0</v>
      </c>
      <c r="J16" s="34" t="b">
        <v>0</v>
      </c>
      <c r="K16" s="34" t="b">
        <v>0</v>
      </c>
      <c r="L16" s="34" t="b">
        <v>0</v>
      </c>
      <c r="M16" s="34" t="b">
        <v>0</v>
      </c>
      <c r="N16" s="34" t="b">
        <v>0</v>
      </c>
      <c r="O16" s="34" t="b">
        <v>0</v>
      </c>
      <c r="P16" s="34" t="b">
        <v>0</v>
      </c>
      <c r="Q16" s="34" t="b">
        <v>0</v>
      </c>
      <c r="R16" s="34" t="b">
        <v>0</v>
      </c>
      <c r="S16" s="34" t="b">
        <v>0</v>
      </c>
      <c r="T16" s="34" t="b">
        <v>0</v>
      </c>
      <c r="U16" s="34" t="b">
        <v>0</v>
      </c>
      <c r="V16" s="34" t="b">
        <v>0</v>
      </c>
      <c r="W16" s="34" t="b">
        <v>0</v>
      </c>
      <c r="X16" s="34" t="b">
        <v>0</v>
      </c>
      <c r="Y16" s="34" t="b">
        <v>0</v>
      </c>
      <c r="Z16" s="34" t="b">
        <v>0</v>
      </c>
      <c r="AA16" s="34" t="b">
        <v>0</v>
      </c>
      <c r="AB16" s="34" t="b">
        <v>0</v>
      </c>
      <c r="AC16" s="34" t="b">
        <v>0</v>
      </c>
      <c r="AD16" s="34" t="b">
        <v>0</v>
      </c>
      <c r="AE16" s="34" t="b">
        <v>0</v>
      </c>
      <c r="AF16" s="34" t="b">
        <v>0</v>
      </c>
      <c r="AG16" s="34" t="b">
        <v>0</v>
      </c>
    </row>
    <row r="17">
      <c r="A17" s="33" t="n">
        <v>11</v>
      </c>
      <c r="B17" s="14" t="n"/>
      <c r="C17" s="34" t="b">
        <v>0</v>
      </c>
      <c r="D17" s="34" t="b">
        <v>0</v>
      </c>
      <c r="E17" s="34" t="b">
        <v>0</v>
      </c>
      <c r="F17" s="34" t="b">
        <v>0</v>
      </c>
      <c r="G17" s="34" t="b">
        <v>0</v>
      </c>
      <c r="H17" s="34" t="b">
        <v>0</v>
      </c>
      <c r="I17" s="34" t="b">
        <v>0</v>
      </c>
      <c r="J17" s="34" t="b">
        <v>0</v>
      </c>
      <c r="K17" s="34" t="b">
        <v>0</v>
      </c>
      <c r="L17" s="34" t="b">
        <v>0</v>
      </c>
      <c r="M17" s="34" t="b">
        <v>0</v>
      </c>
      <c r="N17" s="34" t="b">
        <v>0</v>
      </c>
      <c r="O17" s="34" t="b">
        <v>0</v>
      </c>
      <c r="P17" s="34" t="b">
        <v>0</v>
      </c>
      <c r="Q17" s="34" t="b">
        <v>0</v>
      </c>
      <c r="R17" s="34" t="b">
        <v>0</v>
      </c>
      <c r="S17" s="34" t="b">
        <v>0</v>
      </c>
      <c r="T17" s="34" t="b">
        <v>0</v>
      </c>
      <c r="U17" s="34" t="b">
        <v>0</v>
      </c>
      <c r="V17" s="34" t="b">
        <v>0</v>
      </c>
      <c r="W17" s="34" t="b">
        <v>0</v>
      </c>
      <c r="X17" s="34" t="b">
        <v>0</v>
      </c>
      <c r="Y17" s="34" t="b">
        <v>0</v>
      </c>
      <c r="Z17" s="34" t="b">
        <v>0</v>
      </c>
      <c r="AA17" s="34" t="b">
        <v>0</v>
      </c>
      <c r="AB17" s="34" t="b">
        <v>0</v>
      </c>
      <c r="AC17" s="34" t="b">
        <v>0</v>
      </c>
      <c r="AD17" s="34" t="b">
        <v>0</v>
      </c>
      <c r="AE17" s="34" t="b">
        <v>0</v>
      </c>
      <c r="AF17" s="34" t="b">
        <v>0</v>
      </c>
      <c r="AG17" s="34" t="b">
        <v>0</v>
      </c>
    </row>
    <row r="18">
      <c r="A18" s="33" t="n">
        <v>12</v>
      </c>
      <c r="B18" s="14" t="n"/>
      <c r="C18" s="34" t="b">
        <v>0</v>
      </c>
      <c r="D18" s="34" t="b">
        <v>0</v>
      </c>
      <c r="E18" s="34" t="b">
        <v>0</v>
      </c>
      <c r="F18" s="34" t="b">
        <v>0</v>
      </c>
      <c r="G18" s="34" t="b">
        <v>0</v>
      </c>
      <c r="H18" s="34" t="b">
        <v>0</v>
      </c>
      <c r="I18" s="34" t="b">
        <v>0</v>
      </c>
      <c r="J18" s="34" t="b">
        <v>0</v>
      </c>
      <c r="K18" s="34" t="b">
        <v>0</v>
      </c>
      <c r="L18" s="34" t="b">
        <v>0</v>
      </c>
      <c r="M18" s="34" t="b">
        <v>0</v>
      </c>
      <c r="N18" s="34" t="b">
        <v>0</v>
      </c>
      <c r="O18" s="34" t="b">
        <v>0</v>
      </c>
      <c r="P18" s="34" t="b">
        <v>0</v>
      </c>
      <c r="Q18" s="34" t="b">
        <v>0</v>
      </c>
      <c r="R18" s="34" t="b">
        <v>0</v>
      </c>
      <c r="S18" s="34" t="b">
        <v>0</v>
      </c>
      <c r="T18" s="34" t="b">
        <v>0</v>
      </c>
      <c r="U18" s="34" t="b">
        <v>0</v>
      </c>
      <c r="V18" s="34" t="b">
        <v>0</v>
      </c>
      <c r="W18" s="34" t="b">
        <v>0</v>
      </c>
      <c r="X18" s="34" t="b">
        <v>0</v>
      </c>
      <c r="Y18" s="34" t="b">
        <v>0</v>
      </c>
      <c r="Z18" s="34" t="b">
        <v>0</v>
      </c>
      <c r="AA18" s="34" t="b">
        <v>0</v>
      </c>
      <c r="AB18" s="34" t="b">
        <v>0</v>
      </c>
      <c r="AC18" s="34" t="b">
        <v>0</v>
      </c>
      <c r="AD18" s="34" t="b">
        <v>0</v>
      </c>
      <c r="AE18" s="34" t="b">
        <v>0</v>
      </c>
      <c r="AF18" s="34" t="b">
        <v>0</v>
      </c>
      <c r="AG18" s="34" t="b">
        <v>0</v>
      </c>
    </row>
    <row r="19">
      <c r="A19" s="33" t="n">
        <v>13</v>
      </c>
      <c r="B19" s="14" t="n"/>
      <c r="C19" s="34" t="b">
        <v>0</v>
      </c>
      <c r="D19" s="34" t="b">
        <v>0</v>
      </c>
      <c r="E19" s="34" t="b">
        <v>0</v>
      </c>
      <c r="F19" s="34" t="b">
        <v>0</v>
      </c>
      <c r="G19" s="34" t="b">
        <v>0</v>
      </c>
      <c r="H19" s="34" t="b">
        <v>0</v>
      </c>
      <c r="I19" s="34" t="b">
        <v>0</v>
      </c>
      <c r="J19" s="34" t="b">
        <v>0</v>
      </c>
      <c r="K19" s="34" t="b">
        <v>0</v>
      </c>
      <c r="L19" s="34" t="b">
        <v>0</v>
      </c>
      <c r="M19" s="34" t="b">
        <v>0</v>
      </c>
      <c r="N19" s="34" t="b">
        <v>0</v>
      </c>
      <c r="O19" s="34" t="b">
        <v>0</v>
      </c>
      <c r="P19" s="34" t="b">
        <v>0</v>
      </c>
      <c r="Q19" s="34" t="b">
        <v>0</v>
      </c>
      <c r="R19" s="34" t="b">
        <v>0</v>
      </c>
      <c r="S19" s="34" t="b">
        <v>0</v>
      </c>
      <c r="T19" s="34" t="b">
        <v>0</v>
      </c>
      <c r="U19" s="34" t="b">
        <v>0</v>
      </c>
      <c r="V19" s="34" t="b">
        <v>0</v>
      </c>
      <c r="W19" s="34" t="b">
        <v>0</v>
      </c>
      <c r="X19" s="34" t="b">
        <v>0</v>
      </c>
      <c r="Y19" s="34" t="b">
        <v>0</v>
      </c>
      <c r="Z19" s="34" t="b">
        <v>0</v>
      </c>
      <c r="AA19" s="34" t="b">
        <v>0</v>
      </c>
      <c r="AB19" s="34" t="b">
        <v>0</v>
      </c>
      <c r="AC19" s="34" t="b">
        <v>0</v>
      </c>
      <c r="AD19" s="34" t="b">
        <v>0</v>
      </c>
      <c r="AE19" s="34" t="b">
        <v>0</v>
      </c>
      <c r="AF19" s="34" t="b">
        <v>0</v>
      </c>
      <c r="AG19" s="34" t="b">
        <v>0</v>
      </c>
    </row>
    <row r="20">
      <c r="A20" s="33" t="n">
        <v>14</v>
      </c>
      <c r="B20" s="14" t="n"/>
      <c r="C20" s="34" t="b">
        <v>0</v>
      </c>
      <c r="D20" s="34" t="b">
        <v>0</v>
      </c>
      <c r="E20" s="34" t="b">
        <v>0</v>
      </c>
      <c r="F20" s="34" t="b">
        <v>0</v>
      </c>
      <c r="G20" s="34" t="b">
        <v>0</v>
      </c>
      <c r="H20" s="34" t="b">
        <v>0</v>
      </c>
      <c r="I20" s="34" t="b">
        <v>0</v>
      </c>
      <c r="J20" s="34" t="b">
        <v>0</v>
      </c>
      <c r="K20" s="34" t="b">
        <v>0</v>
      </c>
      <c r="L20" s="34" t="b">
        <v>0</v>
      </c>
      <c r="M20" s="34" t="b">
        <v>0</v>
      </c>
      <c r="N20" s="34" t="b">
        <v>0</v>
      </c>
      <c r="O20" s="34" t="b">
        <v>0</v>
      </c>
      <c r="P20" s="34" t="b">
        <v>0</v>
      </c>
      <c r="Q20" s="34" t="b">
        <v>0</v>
      </c>
      <c r="R20" s="34" t="b">
        <v>0</v>
      </c>
      <c r="S20" s="34" t="b">
        <v>0</v>
      </c>
      <c r="T20" s="34" t="b">
        <v>0</v>
      </c>
      <c r="U20" s="34" t="b">
        <v>0</v>
      </c>
      <c r="V20" s="34" t="b">
        <v>0</v>
      </c>
      <c r="W20" s="34" t="b">
        <v>0</v>
      </c>
      <c r="X20" s="34" t="b">
        <v>0</v>
      </c>
      <c r="Y20" s="34" t="b">
        <v>0</v>
      </c>
      <c r="Z20" s="34" t="b">
        <v>0</v>
      </c>
      <c r="AA20" s="34" t="b">
        <v>0</v>
      </c>
      <c r="AB20" s="34" t="b">
        <v>0</v>
      </c>
      <c r="AC20" s="34" t="b">
        <v>0</v>
      </c>
      <c r="AD20" s="34" t="b">
        <v>0</v>
      </c>
      <c r="AE20" s="34" t="b">
        <v>0</v>
      </c>
      <c r="AF20" s="34" t="b">
        <v>0</v>
      </c>
      <c r="AG20" s="34" t="b">
        <v>0</v>
      </c>
    </row>
    <row r="21">
      <c r="A21" s="33" t="n">
        <v>15</v>
      </c>
      <c r="B21" s="14" t="n"/>
      <c r="C21" s="34" t="b">
        <v>0</v>
      </c>
      <c r="D21" s="34" t="b">
        <v>0</v>
      </c>
      <c r="E21" s="34" t="b">
        <v>0</v>
      </c>
      <c r="F21" s="34" t="b">
        <v>0</v>
      </c>
      <c r="G21" s="34" t="b">
        <v>0</v>
      </c>
      <c r="H21" s="34" t="b">
        <v>0</v>
      </c>
      <c r="I21" s="34" t="b">
        <v>0</v>
      </c>
      <c r="J21" s="34" t="b">
        <v>0</v>
      </c>
      <c r="K21" s="34" t="b">
        <v>0</v>
      </c>
      <c r="L21" s="34" t="b">
        <v>0</v>
      </c>
      <c r="M21" s="34" t="b">
        <v>0</v>
      </c>
      <c r="N21" s="34" t="b">
        <v>0</v>
      </c>
      <c r="O21" s="34" t="b">
        <v>0</v>
      </c>
      <c r="P21" s="34" t="b">
        <v>0</v>
      </c>
      <c r="Q21" s="34" t="b">
        <v>0</v>
      </c>
      <c r="R21" s="34" t="b">
        <v>0</v>
      </c>
      <c r="S21" s="34" t="b">
        <v>0</v>
      </c>
      <c r="T21" s="34" t="b">
        <v>0</v>
      </c>
      <c r="U21" s="34" t="b">
        <v>0</v>
      </c>
      <c r="V21" s="34" t="b">
        <v>0</v>
      </c>
      <c r="W21" s="34" t="b">
        <v>0</v>
      </c>
      <c r="X21" s="34" t="b">
        <v>0</v>
      </c>
      <c r="Y21" s="34" t="b">
        <v>0</v>
      </c>
      <c r="Z21" s="34" t="b">
        <v>0</v>
      </c>
      <c r="AA21" s="34" t="b">
        <v>0</v>
      </c>
      <c r="AB21" s="34" t="b">
        <v>0</v>
      </c>
      <c r="AC21" s="34" t="b">
        <v>0</v>
      </c>
      <c r="AD21" s="34" t="b">
        <v>0</v>
      </c>
      <c r="AE21" s="34" t="b">
        <v>0</v>
      </c>
      <c r="AF21" s="34" t="b">
        <v>0</v>
      </c>
      <c r="AG21" s="34" t="b">
        <v>0</v>
      </c>
    </row>
    <row r="22">
      <c r="B22" s="35" t="inlineStr">
        <is>
          <t>ВЫПОЛНЕНЫ</t>
        </is>
      </c>
      <c r="C22" s="36">
        <f>COUNTIFS($B$7:$B$21,"&lt;&gt;",C7:C21,TRUE)</f>
        <v/>
      </c>
      <c r="D22" s="36">
        <f>COUNTIFS($B$7:$B$21,"&lt;&gt;",D7:D21,TRUE)</f>
        <v/>
      </c>
      <c r="E22" s="36">
        <f>COUNTIFS($B$7:$B$21,"&lt;&gt;",E7:E21,TRUE)</f>
        <v/>
      </c>
      <c r="F22" s="36">
        <f>COUNTIFS($B$7:$B$21,"&lt;&gt;",F7:F21,TRUE)</f>
        <v/>
      </c>
      <c r="G22" s="36">
        <f>COUNTIFS($B$7:$B$21,"&lt;&gt;",G7:G21,TRUE)</f>
        <v/>
      </c>
      <c r="H22" s="36">
        <f>COUNTIFS($B$7:$B$21,"&lt;&gt;",H7:H21,TRUE)</f>
        <v/>
      </c>
      <c r="I22" s="36">
        <f>COUNTIFS($B$7:$B$21,"&lt;&gt;",I7:I21,TRUE)</f>
        <v/>
      </c>
      <c r="J22" s="36">
        <f>COUNTIFS($B$7:$B$21,"&lt;&gt;",J7:J21,TRUE)</f>
        <v/>
      </c>
      <c r="K22" s="36">
        <f>COUNTIFS($B$7:$B$21,"&lt;&gt;",K7:K21,TRUE)</f>
        <v/>
      </c>
      <c r="L22" s="36">
        <f>COUNTIFS($B$7:$B$21,"&lt;&gt;",L7:L21,TRUE)</f>
        <v/>
      </c>
      <c r="M22" s="36">
        <f>COUNTIFS($B$7:$B$21,"&lt;&gt;",M7:M21,TRUE)</f>
        <v/>
      </c>
      <c r="N22" s="36">
        <f>COUNTIFS($B$7:$B$21,"&lt;&gt;",N7:N21,TRUE)</f>
        <v/>
      </c>
      <c r="O22" s="36">
        <f>COUNTIFS($B$7:$B$21,"&lt;&gt;",O7:O21,TRUE)</f>
        <v/>
      </c>
      <c r="P22" s="36">
        <f>COUNTIFS($B$7:$B$21,"&lt;&gt;",P7:P21,TRUE)</f>
        <v/>
      </c>
      <c r="Q22" s="36">
        <f>COUNTIFS($B$7:$B$21,"&lt;&gt;",Q7:Q21,TRUE)</f>
        <v/>
      </c>
      <c r="R22" s="36">
        <f>COUNTIFS($B$7:$B$21,"&lt;&gt;",R7:R21,TRUE)</f>
        <v/>
      </c>
      <c r="S22" s="36">
        <f>COUNTIFS($B$7:$B$21,"&lt;&gt;",S7:S21,TRUE)</f>
        <v/>
      </c>
      <c r="T22" s="36">
        <f>COUNTIFS($B$7:$B$21,"&lt;&gt;",T7:T21,TRUE)</f>
        <v/>
      </c>
      <c r="U22" s="36">
        <f>COUNTIFS($B$7:$B$21,"&lt;&gt;",U7:U21,TRUE)</f>
        <v/>
      </c>
      <c r="V22" s="36">
        <f>COUNTIFS($B$7:$B$21,"&lt;&gt;",V7:V21,TRUE)</f>
        <v/>
      </c>
      <c r="W22" s="36">
        <f>COUNTIFS($B$7:$B$21,"&lt;&gt;",W7:W21,TRUE)</f>
        <v/>
      </c>
      <c r="X22" s="36">
        <f>COUNTIFS($B$7:$B$21,"&lt;&gt;",X7:X21,TRUE)</f>
        <v/>
      </c>
      <c r="Y22" s="36">
        <f>COUNTIFS($B$7:$B$21,"&lt;&gt;",Y7:Y21,TRUE)</f>
        <v/>
      </c>
      <c r="Z22" s="36">
        <f>COUNTIFS($B$7:$B$21,"&lt;&gt;",Z7:Z21,TRUE)</f>
        <v/>
      </c>
      <c r="AA22" s="36">
        <f>COUNTIFS($B$7:$B$21,"&lt;&gt;",AA7:AA21,TRUE)</f>
        <v/>
      </c>
      <c r="AB22" s="36">
        <f>COUNTIFS($B$7:$B$21,"&lt;&gt;",AB7:AB21,TRUE)</f>
        <v/>
      </c>
      <c r="AC22" s="36">
        <f>COUNTIFS($B$7:$B$21,"&lt;&gt;",AC7:AC21,TRUE)</f>
        <v/>
      </c>
      <c r="AD22" s="36">
        <f>COUNTIFS($B$7:$B$21,"&lt;&gt;",AD7:AD21,TRUE)</f>
        <v/>
      </c>
      <c r="AE22" s="36">
        <f>COUNTIFS($B$7:$B$21,"&lt;&gt;",AE7:AE21,TRUE)</f>
        <v/>
      </c>
      <c r="AF22" s="36">
        <f>COUNTIFS($B$7:$B$21,"&lt;&gt;",AF7:AF21,TRUE)</f>
        <v/>
      </c>
      <c r="AG22" s="36">
        <f>COUNTIFS($B$7:$B$21,"&lt;&gt;",AG7:AG21,TRUE)</f>
        <v/>
      </c>
    </row>
    <row r="23">
      <c r="B23" s="35" t="inlineStr">
        <is>
          <t>НЕВЫПОЛНЕНЫ</t>
        </is>
      </c>
      <c r="C23" s="36">
        <f>COUNTIFS($B$7:$B$21,"&lt;&gt;",C7:C21,FALSE)</f>
        <v/>
      </c>
      <c r="D23" s="36">
        <f>COUNTIFS($B$7:$B$21,"&lt;&gt;",D7:D21,FALSE)</f>
        <v/>
      </c>
      <c r="E23" s="36">
        <f>COUNTIFS($B$7:$B$21,"&lt;&gt;",E7:E21,FALSE)</f>
        <v/>
      </c>
      <c r="F23" s="36">
        <f>COUNTIFS($B$7:$B$21,"&lt;&gt;",F7:F21,FALSE)</f>
        <v/>
      </c>
      <c r="G23" s="36">
        <f>COUNTIFS($B$7:$B$21,"&lt;&gt;",G7:G21,FALSE)</f>
        <v/>
      </c>
      <c r="H23" s="36">
        <f>COUNTIFS($B$7:$B$21,"&lt;&gt;",H7:H21,FALSE)</f>
        <v/>
      </c>
      <c r="I23" s="36">
        <f>COUNTIFS($B$7:$B$21,"&lt;&gt;",I7:I21,FALSE)</f>
        <v/>
      </c>
      <c r="J23" s="36">
        <f>COUNTIFS($B$7:$B$21,"&lt;&gt;",J7:J21,FALSE)</f>
        <v/>
      </c>
      <c r="K23" s="36">
        <f>COUNTIFS($B$7:$B$21,"&lt;&gt;",K7:K21,FALSE)</f>
        <v/>
      </c>
      <c r="L23" s="36">
        <f>COUNTIFS($B$7:$B$21,"&lt;&gt;",L7:L21,FALSE)</f>
        <v/>
      </c>
      <c r="M23" s="36">
        <f>COUNTIFS($B$7:$B$21,"&lt;&gt;",M7:M21,FALSE)</f>
        <v/>
      </c>
      <c r="N23" s="36">
        <f>COUNTIFS($B$7:$B$21,"&lt;&gt;",N7:N21,FALSE)</f>
        <v/>
      </c>
      <c r="O23" s="36">
        <f>COUNTIFS($B$7:$B$21,"&lt;&gt;",O7:O21,FALSE)</f>
        <v/>
      </c>
      <c r="P23" s="36">
        <f>COUNTIFS($B$7:$B$21,"&lt;&gt;",P7:P21,FALSE)</f>
        <v/>
      </c>
      <c r="Q23" s="36">
        <f>COUNTIFS($B$7:$B$21,"&lt;&gt;",Q7:Q21,FALSE)</f>
        <v/>
      </c>
      <c r="R23" s="36">
        <f>COUNTIFS($B$7:$B$21,"&lt;&gt;",R7:R21,FALSE)</f>
        <v/>
      </c>
      <c r="S23" s="36">
        <f>COUNTIFS($B$7:$B$21,"&lt;&gt;",S7:S21,FALSE)</f>
        <v/>
      </c>
      <c r="T23" s="36">
        <f>COUNTIFS($B$7:$B$21,"&lt;&gt;",T7:T21,FALSE)</f>
        <v/>
      </c>
      <c r="U23" s="36">
        <f>COUNTIFS($B$7:$B$21,"&lt;&gt;",U7:U21,FALSE)</f>
        <v/>
      </c>
      <c r="V23" s="36">
        <f>COUNTIFS($B$7:$B$21,"&lt;&gt;",V7:V21,FALSE)</f>
        <v/>
      </c>
      <c r="W23" s="36">
        <f>COUNTIFS($B$7:$B$21,"&lt;&gt;",W7:W21,FALSE)</f>
        <v/>
      </c>
      <c r="X23" s="36">
        <f>COUNTIFS($B$7:$B$21,"&lt;&gt;",X7:X21,FALSE)</f>
        <v/>
      </c>
      <c r="Y23" s="36">
        <f>COUNTIFS($B$7:$B$21,"&lt;&gt;",Y7:Y21,FALSE)</f>
        <v/>
      </c>
      <c r="Z23" s="36">
        <f>COUNTIFS($B$7:$B$21,"&lt;&gt;",Z7:Z21,FALSE)</f>
        <v/>
      </c>
      <c r="AA23" s="36">
        <f>COUNTIFS($B$7:$B$21,"&lt;&gt;",AA7:AA21,FALSE)</f>
        <v/>
      </c>
      <c r="AB23" s="36">
        <f>COUNTIFS($B$7:$B$21,"&lt;&gt;",AB7:AB21,FALSE)</f>
        <v/>
      </c>
      <c r="AC23" s="36">
        <f>COUNTIFS($B$7:$B$21,"&lt;&gt;",AC7:AC21,FALSE)</f>
        <v/>
      </c>
      <c r="AD23" s="36">
        <f>COUNTIFS($B$7:$B$21,"&lt;&gt;",AD7:AD21,FALSE)</f>
        <v/>
      </c>
      <c r="AE23" s="36">
        <f>COUNTIFS($B$7:$B$21,"&lt;&gt;",AE7:AE21,FALSE)</f>
        <v/>
      </c>
      <c r="AF23" s="36">
        <f>COUNTIFS($B$7:$B$21,"&lt;&gt;",AF7:AF21,FALSE)</f>
        <v/>
      </c>
      <c r="AG23" s="36">
        <f>COUNTIFS($B$7:$B$21,"&lt;&gt;",AG7:AG21,FALSE)</f>
        <v/>
      </c>
    </row>
    <row r="24">
      <c r="B24" s="35" t="inlineStr">
        <is>
          <t>ПРОГРЕСС %</t>
        </is>
      </c>
      <c r="C24" s="37">
        <f>IFERROR(C22/(C22+C23),0)</f>
        <v/>
      </c>
      <c r="D24" s="37">
        <f>IFERROR(D22/(D22+D23),0)</f>
        <v/>
      </c>
      <c r="E24" s="37">
        <f>IFERROR(E22/(E22+E23),0)</f>
        <v/>
      </c>
      <c r="F24" s="37">
        <f>IFERROR(F22/(F22+F23),0)</f>
        <v/>
      </c>
      <c r="G24" s="37">
        <f>IFERROR(G22/(G22+G23),0)</f>
        <v/>
      </c>
      <c r="H24" s="37">
        <f>IFERROR(H22/(H22+H23),0)</f>
        <v/>
      </c>
      <c r="I24" s="37">
        <f>IFERROR(I22/(I22+I23),0)</f>
        <v/>
      </c>
      <c r="J24" s="37">
        <f>IFERROR(J22/(J22+J23),0)</f>
        <v/>
      </c>
      <c r="K24" s="37">
        <f>IFERROR(K22/(K22+K23),0)</f>
        <v/>
      </c>
      <c r="L24" s="37">
        <f>IFERROR(L22/(L22+L23),0)</f>
        <v/>
      </c>
      <c r="M24" s="37">
        <f>IFERROR(M22/(M22+M23),0)</f>
        <v/>
      </c>
      <c r="N24" s="37">
        <f>IFERROR(N22/(N22+N23),0)</f>
        <v/>
      </c>
      <c r="O24" s="37">
        <f>IFERROR(O22/(O22+O23),0)</f>
        <v/>
      </c>
      <c r="P24" s="37">
        <f>IFERROR(P22/(P22+P23),0)</f>
        <v/>
      </c>
      <c r="Q24" s="37">
        <f>IFERROR(Q22/(Q22+Q23),0)</f>
        <v/>
      </c>
      <c r="R24" s="37">
        <f>IFERROR(R22/(R22+R23),0)</f>
        <v/>
      </c>
      <c r="S24" s="37">
        <f>IFERROR(S22/(S22+S23),0)</f>
        <v/>
      </c>
      <c r="T24" s="37">
        <f>IFERROR(T22/(T22+T23),0)</f>
        <v/>
      </c>
      <c r="U24" s="37">
        <f>IFERROR(U22/(U22+U23),0)</f>
        <v/>
      </c>
      <c r="V24" s="37">
        <f>IFERROR(V22/(V22+V23),0)</f>
        <v/>
      </c>
      <c r="W24" s="37">
        <f>IFERROR(W22/(W22+W23),0)</f>
        <v/>
      </c>
      <c r="X24" s="37">
        <f>IFERROR(X22/(X22+X23),0)</f>
        <v/>
      </c>
      <c r="Y24" s="37">
        <f>IFERROR(Y22/(Y22+Y23),0)</f>
        <v/>
      </c>
      <c r="Z24" s="37">
        <f>IFERROR(Z22/(Z22+Z23),0)</f>
        <v/>
      </c>
      <c r="AA24" s="37">
        <f>IFERROR(AA22/(AA22+AA23),0)</f>
        <v/>
      </c>
      <c r="AB24" s="37">
        <f>IFERROR(AB22/(AB22+AB23),0)</f>
        <v/>
      </c>
      <c r="AC24" s="37">
        <f>IFERROR(AC22/(AC22+AC23),0)</f>
        <v/>
      </c>
      <c r="AD24" s="37">
        <f>IFERROR(AD22/(AD22+AD23),0)</f>
        <v/>
      </c>
      <c r="AE24" s="37">
        <f>IFERROR(AE22/(AE22+AE23),0)</f>
        <v/>
      </c>
      <c r="AF24" s="37">
        <f>IFERROR(AF22/(AF22+AF23),0)</f>
        <v/>
      </c>
      <c r="AG24" s="37">
        <f>IFERROR(AG22/(AG22+AG23),0)</f>
        <v/>
      </c>
    </row>
    <row r="26">
      <c r="B26" s="3" t="inlineStr">
        <is>
          <t>ЕЖЕНЕДЕЛЬНЫЕ ПРИВЫЧКИ</t>
        </is>
      </c>
      <c r="C26" s="38" t="inlineStr">
        <is>
          <t>НЕДЕЛЯ 1</t>
        </is>
      </c>
      <c r="D26" s="38" t="inlineStr">
        <is>
          <t>НЕДЕЛЯ 2</t>
        </is>
      </c>
      <c r="E26" s="38" t="inlineStr">
        <is>
          <t>НЕДЕЛЯ 3</t>
        </is>
      </c>
      <c r="F26" s="38" t="inlineStr">
        <is>
          <t>НЕДЕЛЯ 4</t>
        </is>
      </c>
      <c r="G26" s="38" t="inlineStr">
        <is>
          <t>НЕДЕЛЯ 5</t>
        </is>
      </c>
      <c r="I26" s="9" t="inlineStr">
        <is>
          <t>ЕЖЕМЕСЯЧНЫЕ ПРИВЫЧКИ</t>
        </is>
      </c>
      <c r="J26" s="10" t="n"/>
    </row>
    <row r="27">
      <c r="B27" s="14" t="inlineStr">
        <is>
          <t>🏋 Спортзал 3 раза в неделю</t>
        </is>
      </c>
      <c r="C27" s="34" t="b">
        <v>0</v>
      </c>
      <c r="D27" s="34" t="b">
        <v>0</v>
      </c>
      <c r="E27" s="34" t="b">
        <v>0</v>
      </c>
      <c r="F27" s="34" t="b">
        <v>0</v>
      </c>
      <c r="G27" s="34" t="b">
        <v>0</v>
      </c>
      <c r="I27" s="14" t="inlineStr">
        <is>
          <t>📏 Сделать замеры до/после</t>
        </is>
      </c>
      <c r="J27" s="34" t="b">
        <v>0</v>
      </c>
    </row>
    <row r="28">
      <c r="B28" s="14" t="inlineStr">
        <is>
          <t>💰 Анализ расходов</t>
        </is>
      </c>
      <c r="C28" s="34" t="b">
        <v>0</v>
      </c>
      <c r="D28" s="34" t="b">
        <v>0</v>
      </c>
      <c r="E28" s="34" t="b">
        <v>0</v>
      </c>
      <c r="F28" s="34" t="b">
        <v>0</v>
      </c>
      <c r="G28" s="34" t="b">
        <v>0</v>
      </c>
      <c r="I28" s="14" t="n"/>
      <c r="J28" s="34" t="b">
        <v>0</v>
      </c>
    </row>
    <row r="29">
      <c r="B29" s="14" t="n"/>
      <c r="C29" s="34" t="b">
        <v>0</v>
      </c>
      <c r="D29" s="34" t="b">
        <v>0</v>
      </c>
      <c r="E29" s="34" t="b">
        <v>0</v>
      </c>
      <c r="F29" s="34" t="b">
        <v>0</v>
      </c>
      <c r="G29" s="34" t="b">
        <v>0</v>
      </c>
    </row>
    <row r="30">
      <c r="B30" s="14" t="n"/>
      <c r="C30" s="34" t="b">
        <v>0</v>
      </c>
      <c r="D30" s="34" t="b">
        <v>0</v>
      </c>
      <c r="E30" s="34" t="b">
        <v>0</v>
      </c>
      <c r="F30" s="34" t="b">
        <v>0</v>
      </c>
      <c r="G30" s="34" t="b">
        <v>0</v>
      </c>
    </row>
    <row r="31">
      <c r="B31" s="14" t="n"/>
      <c r="C31" s="34" t="b">
        <v>0</v>
      </c>
      <c r="D31" s="34" t="b">
        <v>0</v>
      </c>
      <c r="E31" s="34" t="b">
        <v>0</v>
      </c>
      <c r="F31" s="34" t="b">
        <v>0</v>
      </c>
      <c r="G31" s="34" t="b">
        <v>0</v>
      </c>
    </row>
    <row r="33">
      <c r="B33" s="3" t="inlineStr">
        <is>
          <t>ЗАМЕТКИ</t>
        </is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</row>
    <row r="35"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</row>
    <row r="36"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</row>
    <row r="37"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</row>
    <row r="38"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</row>
    <row r="39"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</row>
  </sheetData>
  <mergeCells count="16">
    <mergeCell ref="A1:AG1"/>
    <mergeCell ref="B33:P33"/>
    <mergeCell ref="B26"/>
    <mergeCell ref="B4:B5"/>
    <mergeCell ref="E26"/>
    <mergeCell ref="C26"/>
    <mergeCell ref="X4:AD4"/>
    <mergeCell ref="D26"/>
    <mergeCell ref="F26"/>
    <mergeCell ref="Q4:W4"/>
    <mergeCell ref="G26"/>
    <mergeCell ref="C4:I4"/>
    <mergeCell ref="A2"/>
    <mergeCell ref="J4:P4"/>
    <mergeCell ref="AE4:AG4"/>
    <mergeCell ref="I26:J26"/>
  </mergeCells>
  <conditionalFormatting sqref="C7:AG7">
    <cfRule type="expression" priority="1" dxfId="0">
      <formula>C7=TRUE</formula>
    </cfRule>
  </conditionalFormatting>
  <conditionalFormatting sqref="C8:AG8">
    <cfRule type="expression" priority="2" dxfId="0">
      <formula>C8=TRUE</formula>
    </cfRule>
  </conditionalFormatting>
  <conditionalFormatting sqref="C9:AG9">
    <cfRule type="expression" priority="3" dxfId="0">
      <formula>C9=TRUE</formula>
    </cfRule>
  </conditionalFormatting>
  <conditionalFormatting sqref="C10:AG10">
    <cfRule type="expression" priority="4" dxfId="0">
      <formula>C10=TRUE</formula>
    </cfRule>
  </conditionalFormatting>
  <conditionalFormatting sqref="C11:AG11">
    <cfRule type="expression" priority="5" dxfId="0">
      <formula>C11=TRUE</formula>
    </cfRule>
  </conditionalFormatting>
  <conditionalFormatting sqref="C12:AG12">
    <cfRule type="expression" priority="6" dxfId="0">
      <formula>C12=TRUE</formula>
    </cfRule>
  </conditionalFormatting>
  <conditionalFormatting sqref="C13:AG13">
    <cfRule type="expression" priority="7" dxfId="0">
      <formula>C13=TRUE</formula>
    </cfRule>
  </conditionalFormatting>
  <conditionalFormatting sqref="C14:AG14">
    <cfRule type="expression" priority="8" dxfId="0">
      <formula>C14=TRUE</formula>
    </cfRule>
  </conditionalFormatting>
  <conditionalFormatting sqref="C15:AG15">
    <cfRule type="expression" priority="9" dxfId="0">
      <formula>C15=TRUE</formula>
    </cfRule>
  </conditionalFormatting>
  <conditionalFormatting sqref="C16:AG16">
    <cfRule type="expression" priority="10" dxfId="0">
      <formula>C16=TRUE</formula>
    </cfRule>
  </conditionalFormatting>
  <conditionalFormatting sqref="C17:AG17">
    <cfRule type="expression" priority="11" dxfId="0">
      <formula>C17=TRUE</formula>
    </cfRule>
  </conditionalFormatting>
  <conditionalFormatting sqref="C18:AG18">
    <cfRule type="expression" priority="12" dxfId="0">
      <formula>C18=TRUE</formula>
    </cfRule>
  </conditionalFormatting>
  <conditionalFormatting sqref="C19:AG19">
    <cfRule type="expression" priority="13" dxfId="0">
      <formula>C19=TRUE</formula>
    </cfRule>
  </conditionalFormatting>
  <conditionalFormatting sqref="C20:AG20">
    <cfRule type="expression" priority="14" dxfId="0">
      <formula>C20=TRUE</formula>
    </cfRule>
  </conditionalFormatting>
  <conditionalFormatting sqref="C21:AG21">
    <cfRule type="expression" priority="15" dxfId="0">
      <formula>C21=TRUE</formula>
    </cfRule>
  </conditionalFormatting>
  <conditionalFormatting sqref="C24:AG24">
    <cfRule type="colorScale" priority="16">
      <colorScale>
        <cfvo type="min"/>
        <cfvo type="max"/>
        <color rgb="00FBEDF1"/>
        <color rgb="009DC3A4"/>
      </colorScale>
    </cfRule>
  </conditionalFormatting>
  <conditionalFormatting sqref="C27:G27">
    <cfRule type="expression" priority="17" dxfId="0">
      <formula>C27=TRUE</formula>
    </cfRule>
  </conditionalFormatting>
  <conditionalFormatting sqref="C28:G28">
    <cfRule type="expression" priority="18" dxfId="0">
      <formula>C28=TRUE</formula>
    </cfRule>
  </conditionalFormatting>
  <conditionalFormatting sqref="C29:G29">
    <cfRule type="expression" priority="19" dxfId="0">
      <formula>C29=TRUE</formula>
    </cfRule>
  </conditionalFormatting>
  <conditionalFormatting sqref="C30:G30">
    <cfRule type="expression" priority="20" dxfId="0">
      <formula>C30=TRUE</formula>
    </cfRule>
  </conditionalFormatting>
  <conditionalFormatting sqref="C31:G31">
    <cfRule type="expression" priority="21" dxfId="0">
      <formula>C31=TRUE</formula>
    </cfRule>
  </conditionalFormatting>
  <conditionalFormatting sqref="J27">
    <cfRule type="expression" priority="22" dxfId="1">
      <formula>J27=TRUE</formula>
    </cfRule>
  </conditionalFormatting>
  <conditionalFormatting sqref="J28">
    <cfRule type="expression" priority="23" dxfId="1">
      <formula>J28=TRUE</formula>
    </cfRule>
  </conditionalFormatting>
  <dataValidations count="22"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7:G27" showDropDown="0" showInputMessage="0" showErrorMessage="0" allowBlank="1" type="list">
      <formula1>"TRUE,FALSE"</formula1>
    </dataValidation>
    <dataValidation sqref="C28:G28" showDropDown="0" showInputMessage="0" showErrorMessage="0" allowBlank="1" type="list">
      <formula1>"TRUE,FALSE"</formula1>
    </dataValidation>
    <dataValidation sqref="C29:G29" showDropDown="0" showInputMessage="0" showErrorMessage="0" allowBlank="1" type="list">
      <formula1>"TRUE,FALSE"</formula1>
    </dataValidation>
    <dataValidation sqref="C30:G30" showDropDown="0" showInputMessage="0" showErrorMessage="0" allowBlank="1" type="list">
      <formula1>"TRUE,FALSE"</formula1>
    </dataValidation>
    <dataValidation sqref="C31:G31" showDropDown="0" showInputMessage="0" showErrorMessage="0" allowBlank="1" type="list">
      <formula1>"TRUE,FALSE"</formula1>
    </dataValidation>
    <dataValidation sqref="J27" showDropDown="0" showInputMessage="0" showErrorMessage="0" allowBlank="1" type="list">
      <formula1>"TRUE,FALSE"</formula1>
    </dataValidation>
    <dataValidation sqref="J28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C8DE"/>
    <outlinePr summaryBelow="1" summaryRight="1"/>
    <pageSetUpPr/>
  </sheetPr>
  <dimension ref="A1:O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40" t="inlineStr">
        <is>
          <t>🗂  МОИ ЗАДАЧИ</t>
        </is>
      </c>
      <c r="B1" s="41" t="n"/>
      <c r="C1" s="41" t="n"/>
      <c r="D1" s="41" t="n"/>
      <c r="E1" s="41" t="n"/>
      <c r="F1" s="41" t="n"/>
      <c r="G1" s="41" t="n"/>
    </row>
    <row r="3">
      <c r="B3" s="24" t="inlineStr">
        <is>
          <t>Задача</t>
        </is>
      </c>
      <c r="C3" s="24" t="inlineStr">
        <is>
          <t>Срок</t>
        </is>
      </c>
      <c r="D3" s="24" t="inlineStr">
        <is>
          <t>Дни ⏳</t>
        </is>
      </c>
      <c r="E3" s="24" t="inlineStr">
        <is>
          <t>Приоритет</t>
        </is>
      </c>
      <c r="F3" s="24" t="inlineStr">
        <is>
          <t>✅</t>
        </is>
      </c>
      <c r="G3" s="24" t="inlineStr">
        <is>
          <t>Категория</t>
        </is>
      </c>
    </row>
    <row r="4">
      <c r="B4" s="14" t="inlineStr">
        <is>
          <t>🚶 10k шагов</t>
        </is>
      </c>
      <c r="C4" s="42">
        <f>TODAY()+(-3)</f>
        <v/>
      </c>
      <c r="D4" s="43">
        <f>C4-TODAY()</f>
        <v/>
      </c>
      <c r="E4" s="43" t="inlineStr">
        <is>
          <t>Высокий</t>
        </is>
      </c>
      <c r="F4" s="34" t="b">
        <v>0</v>
      </c>
      <c r="G4" s="43" t="inlineStr">
        <is>
          <t>Личное</t>
        </is>
      </c>
    </row>
    <row r="5">
      <c r="B5" s="14" t="inlineStr">
        <is>
          <t>📕 20 страниц книги</t>
        </is>
      </c>
      <c r="C5" s="42">
        <f>TODAY()+(-1)</f>
        <v/>
      </c>
      <c r="D5" s="43">
        <f>C5-TODAY()</f>
        <v/>
      </c>
      <c r="E5" s="43" t="inlineStr">
        <is>
          <t>Срочно</t>
        </is>
      </c>
      <c r="F5" s="34" t="b">
        <v>0</v>
      </c>
      <c r="G5" s="43" t="inlineStr">
        <is>
          <t>Личное</t>
        </is>
      </c>
    </row>
    <row r="6">
      <c r="B6" s="14" t="inlineStr">
        <is>
          <t>✉️ Отправить письмо клиенту</t>
        </is>
      </c>
      <c r="C6" s="42">
        <f>TODAY()+(0)</f>
        <v/>
      </c>
      <c r="D6" s="43">
        <f>C6-TODAY()</f>
        <v/>
      </c>
      <c r="E6" s="43" t="inlineStr">
        <is>
          <t>Средний</t>
        </is>
      </c>
      <c r="F6" s="34" t="b">
        <v>1</v>
      </c>
      <c r="G6" s="43" t="inlineStr">
        <is>
          <t>Работа</t>
        </is>
      </c>
    </row>
    <row r="7">
      <c r="B7" s="14" t="inlineStr">
        <is>
          <t>🧘 Медитация (10 мин)</t>
        </is>
      </c>
      <c r="C7" s="42">
        <f>TODAY()+(0)</f>
        <v/>
      </c>
      <c r="D7" s="43">
        <f>C7-TODAY()</f>
        <v/>
      </c>
      <c r="E7" s="43" t="inlineStr">
        <is>
          <t>Высокий</t>
        </is>
      </c>
      <c r="F7" s="34" t="b">
        <v>0</v>
      </c>
      <c r="G7" s="43" t="inlineStr">
        <is>
          <t>Личное</t>
        </is>
      </c>
    </row>
    <row r="8">
      <c r="B8" s="14" t="inlineStr">
        <is>
          <t>💰 Посчитать бюджет на месяц</t>
        </is>
      </c>
      <c r="C8" s="42">
        <f>TODAY()+(2)</f>
        <v/>
      </c>
      <c r="D8" s="43">
        <f>C8-TODAY()</f>
        <v/>
      </c>
      <c r="E8" s="43" t="inlineStr">
        <is>
          <t>Низкий</t>
        </is>
      </c>
      <c r="F8" s="34" t="b">
        <v>0</v>
      </c>
      <c r="G8" s="43" t="inlineStr">
        <is>
          <t>Другое</t>
        </is>
      </c>
    </row>
    <row r="9">
      <c r="B9" s="14" t="inlineStr">
        <is>
          <t>🎬 Сделать рилс</t>
        </is>
      </c>
      <c r="C9" s="42">
        <f>TODAY()+(3)</f>
        <v/>
      </c>
      <c r="D9" s="43">
        <f>C9-TODAY()</f>
        <v/>
      </c>
      <c r="E9" s="43" t="inlineStr">
        <is>
          <t>Срочно</t>
        </is>
      </c>
      <c r="F9" s="34" t="b">
        <v>0</v>
      </c>
      <c r="G9" s="43" t="inlineStr">
        <is>
          <t>Работа</t>
        </is>
      </c>
    </row>
    <row r="10">
      <c r="B10" s="14" t="inlineStr">
        <is>
          <t>💳 Оплатить кредит</t>
        </is>
      </c>
      <c r="C10" s="42">
        <f>TODAY()+(-2)</f>
        <v/>
      </c>
      <c r="D10" s="43">
        <f>C10-TODAY()</f>
        <v/>
      </c>
      <c r="E10" s="43" t="inlineStr">
        <is>
          <t>Срочно</t>
        </is>
      </c>
      <c r="F10" s="34" t="b">
        <v>1</v>
      </c>
      <c r="G10" s="43" t="inlineStr">
        <is>
          <t>Другое</t>
        </is>
      </c>
    </row>
    <row r="11">
      <c r="B11" s="14" t="inlineStr">
        <is>
          <t>🗓 План на следующую неделю</t>
        </is>
      </c>
      <c r="C11" s="42">
        <f>TODAY()+(1)</f>
        <v/>
      </c>
      <c r="D11" s="43">
        <f>C11-TODAY()</f>
        <v/>
      </c>
      <c r="E11" s="43" t="inlineStr">
        <is>
          <t>Средний</t>
        </is>
      </c>
      <c r="F11" s="34" t="b">
        <v>0</v>
      </c>
      <c r="G11" s="43" t="inlineStr">
        <is>
          <t>Работа</t>
        </is>
      </c>
    </row>
    <row r="12">
      <c r="B12" s="14" t="inlineStr">
        <is>
          <t>📞 Позвонить маме</t>
        </is>
      </c>
      <c r="C12" s="42">
        <f>TODAY()+(0)</f>
        <v/>
      </c>
      <c r="D12" s="43">
        <f>C12-TODAY()</f>
        <v/>
      </c>
      <c r="E12" s="43" t="inlineStr">
        <is>
          <t>Средний</t>
        </is>
      </c>
      <c r="F12" s="34" t="b">
        <v>1</v>
      </c>
      <c r="G12" s="43" t="inlineStr">
        <is>
          <t>Личное</t>
        </is>
      </c>
    </row>
    <row r="13">
      <c r="B13" s="14" t="inlineStr">
        <is>
          <t>🎤 Подготовить речь для конфы</t>
        </is>
      </c>
      <c r="C13" s="42">
        <f>TODAY()+(2)</f>
        <v/>
      </c>
      <c r="D13" s="43">
        <f>C13-TODAY()</f>
        <v/>
      </c>
      <c r="E13" s="43" t="inlineStr">
        <is>
          <t>Высокий</t>
        </is>
      </c>
      <c r="F13" s="34" t="b">
        <v>0</v>
      </c>
      <c r="G13" s="43" t="inlineStr">
        <is>
          <t>Личное</t>
        </is>
      </c>
    </row>
    <row r="14">
      <c r="B14" s="14" t="inlineStr">
        <is>
          <t>📊 Бюджет на месяц (план)</t>
        </is>
      </c>
      <c r="C14" s="42">
        <f>TODAY()+(10)</f>
        <v/>
      </c>
      <c r="D14" s="43">
        <f>C14-TODAY()</f>
        <v/>
      </c>
      <c r="E14" s="43" t="inlineStr">
        <is>
          <t>Низкий</t>
        </is>
      </c>
      <c r="F14" s="34" t="b">
        <v>0</v>
      </c>
      <c r="G14" s="43" t="inlineStr">
        <is>
          <t>Личное</t>
        </is>
      </c>
    </row>
    <row r="15">
      <c r="B15" s="14" t="inlineStr">
        <is>
          <t>📈 Составить отчёт</t>
        </is>
      </c>
      <c r="C15" s="42">
        <f>TODAY()+(-4)</f>
        <v/>
      </c>
      <c r="D15" s="43">
        <f>C15-TODAY()</f>
        <v/>
      </c>
      <c r="E15" s="43" t="inlineStr">
        <is>
          <t>Высокий</t>
        </is>
      </c>
      <c r="F15" s="34" t="b">
        <v>0</v>
      </c>
      <c r="G15" s="43" t="inlineStr">
        <is>
          <t>Работа</t>
        </is>
      </c>
    </row>
    <row r="17">
      <c r="B17" s="44" t="inlineStr">
        <is>
          <t>СРОЧНЫЕ</t>
        </is>
      </c>
      <c r="C17" s="45">
        <f>COUNTIF($E$4:$E$15,"Срочно")</f>
        <v/>
      </c>
      <c r="E17" s="24" t="inlineStr">
        <is>
          <t>ВСЕГО ЗАДАЧ</t>
        </is>
      </c>
      <c r="G17" s="46">
        <f>COUNTA($B$4:$B$15)</f>
        <v/>
      </c>
      <c r="I17" s="33" t="inlineStr">
        <is>
          <t>Срочно</t>
        </is>
      </c>
      <c r="J17" s="33">
        <f>COUNTIF($E$4:$E$15,"Срочно")</f>
        <v/>
      </c>
      <c r="L17" s="47" t="inlineStr">
        <is>
          <t>ЗАДАЧ ВЫПОЛНЕНО</t>
        </is>
      </c>
      <c r="M17" s="48">
        <f>COUNTIF($F$4:$F$15,TRUE)&amp;"/"&amp;COUNTA($B$4:$B$15)</f>
        <v/>
      </c>
      <c r="N17" s="33" t="inlineStr">
        <is>
          <t>Работа</t>
        </is>
      </c>
      <c r="O17" s="33">
        <f>COUNTIF($G$4:$G$15,"Работа")</f>
        <v/>
      </c>
    </row>
    <row r="18">
      <c r="B18" s="49" t="inlineStr">
        <is>
          <t>ВЫСОКИЙ ПРИОРИТЕТ</t>
        </is>
      </c>
      <c r="C18" s="50">
        <f>COUNTIF($E$4:$E$15,"Высокий")</f>
        <v/>
      </c>
      <c r="E18" s="24" t="inlineStr">
        <is>
          <t>ЛИЧНЫЕ</t>
        </is>
      </c>
      <c r="G18" s="46">
        <f>COUNTIF($G$4:$G$15,"Личное")</f>
        <v/>
      </c>
      <c r="I18" s="33" t="inlineStr">
        <is>
          <t>Высокий</t>
        </is>
      </c>
      <c r="J18" s="33">
        <f>COUNTIF($E$4:$E$15,"Высокий")</f>
        <v/>
      </c>
      <c r="L18" s="47" t="inlineStr">
        <is>
          <t>ПРОГРЕСС</t>
        </is>
      </c>
      <c r="M18" s="51">
        <f>COUNTIF($F$4:$F$15,TRUE)/COUNTA($B$4:$B$15)</f>
        <v/>
      </c>
      <c r="N18" s="33" t="inlineStr">
        <is>
          <t>Личное</t>
        </is>
      </c>
      <c r="O18" s="33">
        <f>COUNTIF($G$4:$G$15,"Личное")</f>
        <v/>
      </c>
    </row>
    <row r="19">
      <c r="B19" s="52" t="inlineStr">
        <is>
          <t>СРЕДНИЙ ПРИОРИТЕТ</t>
        </is>
      </c>
      <c r="C19" s="53">
        <f>COUNTIF($E$4:$E$15,"Средний")</f>
        <v/>
      </c>
      <c r="E19" s="24" t="inlineStr">
        <is>
          <t>РАБОТА</t>
        </is>
      </c>
      <c r="G19" s="46">
        <f>COUNTIF($G$4:$G$15,"Работа")</f>
        <v/>
      </c>
      <c r="I19" s="33" t="inlineStr">
        <is>
          <t>Средний</t>
        </is>
      </c>
      <c r="J19" s="33">
        <f>COUNTIF($E$4:$E$15,"Средний")</f>
        <v/>
      </c>
      <c r="L19" s="47" t="inlineStr">
        <is>
          <t>ДЕДЛАЙН СЕГОДНЯ</t>
        </is>
      </c>
      <c r="M19" s="48">
        <f>COUNTIF($C$4:$C$15,TODAY())</f>
        <v/>
      </c>
      <c r="N19" s="33" t="inlineStr">
        <is>
          <t>Другое</t>
        </is>
      </c>
      <c r="O19" s="33">
        <f>COUNTIF($G$4:$G$15,"Другое")</f>
        <v/>
      </c>
    </row>
    <row r="20">
      <c r="B20" s="54" t="inlineStr">
        <is>
          <t>НИЗКИЙ ПРИОРИТЕТ</t>
        </is>
      </c>
      <c r="C20" s="55">
        <f>COUNTIF($E$4:$E$15,"Низкий")</f>
        <v/>
      </c>
      <c r="E20" s="24" t="inlineStr">
        <is>
          <t>ДРУГИЕ</t>
        </is>
      </c>
      <c r="G20" s="46">
        <f>COUNTIF($G$4:$G$15,"Другое")</f>
        <v/>
      </c>
      <c r="I20" s="33" t="inlineStr">
        <is>
          <t>Низкий</t>
        </is>
      </c>
      <c r="J20" s="33">
        <f>COUNTIF($E$4:$E$15,"Низкий")</f>
        <v/>
      </c>
      <c r="L20" s="47" t="inlineStr">
        <is>
          <t>ПРОСРОЧЕННЫЕ ЗАДАЧИ</t>
        </is>
      </c>
      <c r="M20" s="48">
        <f>COUNTIFS($C$4:$C$15,"&lt;"&amp;TODAY(),$F$4:$F$15,FALSE)</f>
        <v/>
      </c>
    </row>
    <row r="22">
      <c r="B22" s="13" t="inlineStr">
        <is>
          <t>Выделение задач:</t>
        </is>
      </c>
      <c r="C22" s="56" t="inlineStr">
        <is>
          <t>(Все)</t>
        </is>
      </c>
    </row>
    <row r="39">
      <c r="B39" s="57" t="inlineStr">
        <is>
          <t>СРОЧНЫЕ</t>
        </is>
      </c>
      <c r="C39" s="58" t="n"/>
      <c r="D39" s="58" t="n"/>
      <c r="E39" s="58" t="n"/>
      <c r="G39" s="59" t="inlineStr">
        <is>
          <t>ВЫСОКИЙ ПРИОРИТЕТ</t>
        </is>
      </c>
      <c r="H39" s="12" t="n"/>
      <c r="I39" s="12" t="n"/>
      <c r="J39" s="12" t="n"/>
    </row>
    <row r="40">
      <c r="B40" s="24" t="inlineStr">
        <is>
          <t>Задача</t>
        </is>
      </c>
      <c r="C40" s="24" t="inlineStr">
        <is>
          <t>Срок</t>
        </is>
      </c>
      <c r="D40" s="24" t="inlineStr">
        <is>
          <t>Дни</t>
        </is>
      </c>
      <c r="E40" s="24" t="inlineStr">
        <is>
          <t>Тип</t>
        </is>
      </c>
      <c r="G40" s="24" t="inlineStr">
        <is>
          <t>Задача</t>
        </is>
      </c>
      <c r="H40" s="24" t="inlineStr">
        <is>
          <t>Срок</t>
        </is>
      </c>
      <c r="I40" s="24" t="inlineStr">
        <is>
          <t>Дни</t>
        </is>
      </c>
      <c r="J40" s="24" t="inlineStr">
        <is>
          <t>Тип</t>
        </is>
      </c>
    </row>
    <row r="41">
      <c r="B41" s="14">
        <f>IFERROR(FILTER($B$4:$B$15,$E$4:$E$15="Срочно"),"")</f>
        <v/>
      </c>
      <c r="C41" s="14">
        <f>IFERROR(FILTER($C$4:$C$15,$E$4:$E$15="Срочно"),"")</f>
        <v/>
      </c>
      <c r="D41" s="14">
        <f>IFERROR(FILTER($D$4:$D$15,$E$4:$E$15="Срочно"),"")</f>
        <v/>
      </c>
      <c r="E41" s="14">
        <f>IFERROR(FILTER($G$4:$G$15,$E$4:$E$15="Срочно"),"")</f>
        <v/>
      </c>
      <c r="G41" s="14">
        <f>IFERROR(FILTER($B$4:$B$15,$E$4:$E$15="Высокий"),"")</f>
        <v/>
      </c>
      <c r="H41" s="14">
        <f>IFERROR(FILTER($C$4:$C$15,$E$4:$E$15="Высокий"),"")</f>
        <v/>
      </c>
      <c r="I41" s="14">
        <f>IFERROR(FILTER($D$4:$D$15,$E$4:$E$15="Высокий"),"")</f>
        <v/>
      </c>
      <c r="J41" s="14">
        <f>IFERROR(FILTER($G$4:$G$15,$E$4:$E$15="Высокий"),"")</f>
        <v/>
      </c>
    </row>
    <row r="42">
      <c r="B42" s="17" t="n"/>
      <c r="C42" s="17" t="n"/>
      <c r="D42" s="17" t="n"/>
      <c r="E42" s="17" t="n"/>
      <c r="G42" s="17" t="n"/>
      <c r="H42" s="17" t="n"/>
      <c r="I42" s="17" t="n"/>
      <c r="J42" s="17" t="n"/>
    </row>
    <row r="43">
      <c r="B43" s="17" t="n"/>
      <c r="C43" s="17" t="n"/>
      <c r="D43" s="17" t="n"/>
      <c r="E43" s="17" t="n"/>
      <c r="G43" s="17" t="n"/>
      <c r="H43" s="17" t="n"/>
      <c r="I43" s="17" t="n"/>
      <c r="J43" s="17" t="n"/>
    </row>
    <row r="44">
      <c r="B44" s="17" t="n"/>
      <c r="C44" s="17" t="n"/>
      <c r="D44" s="17" t="n"/>
      <c r="E44" s="17" t="n"/>
      <c r="G44" s="17" t="n"/>
      <c r="H44" s="17" t="n"/>
      <c r="I44" s="17" t="n"/>
      <c r="J44" s="17" t="n"/>
    </row>
    <row r="47">
      <c r="B47" s="60" t="inlineStr">
        <is>
          <t>СРЕДНИЙ ПРИОРИТЕТ</t>
        </is>
      </c>
      <c r="C47" s="4" t="n"/>
      <c r="D47" s="4" t="n"/>
      <c r="E47" s="4" t="n"/>
      <c r="G47" s="61" t="inlineStr">
        <is>
          <t>НИЗКИЙ ПРИОРИТЕТ</t>
        </is>
      </c>
      <c r="H47" s="8" t="n"/>
      <c r="I47" s="8" t="n"/>
      <c r="J47" s="8" t="n"/>
    </row>
    <row r="48">
      <c r="B48" s="62" t="inlineStr">
        <is>
          <t>Задача</t>
        </is>
      </c>
      <c r="C48" s="62" t="inlineStr">
        <is>
          <t>Срок</t>
        </is>
      </c>
      <c r="D48" s="62" t="inlineStr">
        <is>
          <t>Дни</t>
        </is>
      </c>
      <c r="E48" s="62" t="inlineStr">
        <is>
          <t>Тип</t>
        </is>
      </c>
      <c r="G48" s="24" t="inlineStr">
        <is>
          <t>Задача</t>
        </is>
      </c>
      <c r="H48" s="24" t="inlineStr">
        <is>
          <t>Срок</t>
        </is>
      </c>
      <c r="I48" s="24" t="inlineStr">
        <is>
          <t>Дни</t>
        </is>
      </c>
      <c r="J48" s="24" t="inlineStr">
        <is>
          <t>Тип</t>
        </is>
      </c>
    </row>
    <row r="49">
      <c r="B49" s="14">
        <f>IFERROR(FILTER($B$4:$B$15,$E$4:$E$15="Средний"),"")</f>
        <v/>
      </c>
      <c r="C49" s="14">
        <f>IFERROR(FILTER($C$4:$C$15,$E$4:$E$15="Средний"),"")</f>
        <v/>
      </c>
      <c r="D49" s="14">
        <f>IFERROR(FILTER($D$4:$D$15,$E$4:$E$15="Средний"),"")</f>
        <v/>
      </c>
      <c r="E49" s="14">
        <f>IFERROR(FILTER($G$4:$G$15,$E$4:$E$15="Средний"),"")</f>
        <v/>
      </c>
      <c r="G49" s="14">
        <f>IFERROR(FILTER($B$4:$B$15,$E$4:$E$15="Низкий"),"")</f>
        <v/>
      </c>
      <c r="H49" s="14">
        <f>IFERROR(FILTER($C$4:$C$15,$E$4:$E$15="Низкий"),"")</f>
        <v/>
      </c>
      <c r="I49" s="14">
        <f>IFERROR(FILTER($D$4:$D$15,$E$4:$E$15="Низкий"),"")</f>
        <v/>
      </c>
      <c r="J49" s="14">
        <f>IFERROR(FILTER($G$4:$G$15,$E$4:$E$15="Низкий"),"")</f>
        <v/>
      </c>
    </row>
    <row r="50">
      <c r="B50" s="17" t="n"/>
      <c r="C50" s="17" t="n"/>
      <c r="D50" s="17" t="n"/>
      <c r="E50" s="17" t="n"/>
      <c r="G50" s="17" t="n"/>
      <c r="H50" s="17" t="n"/>
      <c r="I50" s="17" t="n"/>
      <c r="J50" s="17" t="n"/>
    </row>
    <row r="51">
      <c r="B51" s="17" t="n"/>
      <c r="C51" s="17" t="n"/>
      <c r="D51" s="17" t="n"/>
      <c r="E51" s="17" t="n"/>
      <c r="G51" s="17" t="n"/>
      <c r="H51" s="17" t="n"/>
      <c r="I51" s="17" t="n"/>
      <c r="J51" s="17" t="n"/>
    </row>
    <row r="52">
      <c r="B52" s="17" t="n"/>
      <c r="C52" s="17" t="n"/>
      <c r="D52" s="17" t="n"/>
      <c r="E52" s="17" t="n"/>
      <c r="G52" s="17" t="n"/>
      <c r="H52" s="17" t="n"/>
      <c r="I52" s="17" t="n"/>
      <c r="J52" s="17" t="n"/>
    </row>
  </sheetData>
  <mergeCells count="9">
    <mergeCell ref="E20:F20"/>
    <mergeCell ref="A1:G1"/>
    <mergeCell ref="G39:J39"/>
    <mergeCell ref="E19:F19"/>
    <mergeCell ref="B39:E39"/>
    <mergeCell ref="G47:J47"/>
    <mergeCell ref="B47:E47"/>
    <mergeCell ref="E17:F17"/>
    <mergeCell ref="E18:F18"/>
  </mergeCells>
  <conditionalFormatting sqref="E4:E15">
    <cfRule type="expression" priority="1" dxfId="4">
      <formula>E4="Срочно"</formula>
    </cfRule>
    <cfRule type="expression" priority="2" dxfId="3">
      <formula>E4="Высокий"</formula>
    </cfRule>
    <cfRule type="expression" priority="3" dxfId="5">
      <formula>E4="Средний"</formula>
    </cfRule>
    <cfRule type="expression" priority="4" dxfId="0">
      <formula>E4="Низкий"</formula>
    </cfRule>
  </conditionalFormatting>
  <conditionalFormatting sqref="B4:G15">
    <cfRule type="expression" priority="5" dxfId="6">
      <formula>$F4=TRUE</formula>
    </cfRule>
    <cfRule type="expression" priority="7" dxfId="7">
      <formula>AND($C$22&lt;&gt;"(Все)",$G4=$C$22)</formula>
    </cfRule>
  </conditionalFormatting>
  <conditionalFormatting sqref="D4:D15">
    <cfRule type="cellIs" priority="6" operator="lessThan" dxfId="8">
      <formula>0</formula>
    </cfRule>
  </conditionalFormatting>
  <conditionalFormatting sqref="M20">
    <cfRule type="cellIs" priority="8" operator="greaterThan" dxfId="9">
      <formula>0</formula>
    </cfRule>
  </conditionalFormatting>
  <dataValidations count="4">
    <dataValidation sqref="E4:E15" showDropDown="0" showInputMessage="0" showErrorMessage="0" allowBlank="1" type="list">
      <formula1>=Справочник!$F$3:$F$6</formula1>
    </dataValidation>
    <dataValidation sqref="G4:G15" showDropDown="0" showInputMessage="0" showErrorMessage="0" allowBlank="1" type="list">
      <formula1>=Справочник!$E$3:$E$5</formula1>
    </dataValidation>
    <dataValidation sqref="F4:F15" showDropDown="0" showInputMessage="0" showErrorMessage="0" allowBlank="1" type="list">
      <formula1>"TRUE,FALSE"</formula1>
    </dataValidation>
    <dataValidation sqref="C22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9A6D6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</cols>
  <sheetData>
    <row r="1" ht="26" customHeight="1">
      <c r="A1" s="28" t="inlineStr">
        <is>
          <t>СПРАВОЧНИК КАТЕГОРИЙ И СПИСКОВ</t>
        </is>
      </c>
      <c r="B1" s="29" t="n"/>
      <c r="C1" s="29" t="n"/>
      <c r="D1" s="29" t="n"/>
      <c r="E1" s="29" t="n"/>
      <c r="F1" s="29" t="n"/>
      <c r="G1" s="29" t="n"/>
      <c r="H1" s="29" t="n"/>
    </row>
    <row r="2">
      <c r="A2" s="63" t="inlineStr">
        <is>
          <t>Категории доходов</t>
        </is>
      </c>
      <c r="B2" s="63" t="inlineStr">
        <is>
          <t>Категории расходов</t>
        </is>
      </c>
      <c r="C2" s="63" t="inlineStr">
        <is>
          <t>Служебные (долг/вклад)</t>
        </is>
      </c>
      <c r="D2" s="63" t="inlineStr">
        <is>
          <t>Тип транзакции</t>
        </is>
      </c>
      <c r="E2" s="63" t="inlineStr">
        <is>
          <t>Категории задач</t>
        </is>
      </c>
      <c r="F2" s="63" t="inlineStr">
        <is>
          <t>Приоритет</t>
        </is>
      </c>
      <c r="G2" s="63" t="inlineStr">
        <is>
          <t>Статус задачи</t>
        </is>
      </c>
      <c r="J2" s="13" t="inlineStr">
        <is>
          <t>Все категории (для выпадающего списка)</t>
        </is>
      </c>
    </row>
    <row r="3">
      <c r="A3" s="14" t="inlineStr">
        <is>
          <t>Зарплата</t>
        </is>
      </c>
      <c r="B3" s="14" t="inlineStr">
        <is>
          <t>Аренда</t>
        </is>
      </c>
      <c r="C3" s="14" t="inlineStr">
        <is>
          <t>Взял в долг</t>
        </is>
      </c>
      <c r="D3" s="14" t="inlineStr">
        <is>
          <t>Доход</t>
        </is>
      </c>
      <c r="E3" s="14" t="inlineStr">
        <is>
          <t>Работа</t>
        </is>
      </c>
      <c r="F3" s="14" t="inlineStr">
        <is>
          <t>Срочно</t>
        </is>
      </c>
      <c r="G3" s="14" t="inlineStr">
        <is>
          <t>Не начато</t>
        </is>
      </c>
      <c r="J3" s="33" t="inlineStr">
        <is>
          <t>Зарплата</t>
        </is>
      </c>
    </row>
    <row r="4">
      <c r="A4" s="14" t="inlineStr">
        <is>
          <t>Заказы</t>
        </is>
      </c>
      <c r="B4" s="14" t="inlineStr">
        <is>
          <t>Продукты</t>
        </is>
      </c>
      <c r="C4" s="14" t="inlineStr">
        <is>
          <t>Вернул долг</t>
        </is>
      </c>
      <c r="D4" s="14" t="inlineStr">
        <is>
          <t>Расход</t>
        </is>
      </c>
      <c r="E4" s="14" t="inlineStr">
        <is>
          <t>Личное</t>
        </is>
      </c>
      <c r="F4" s="14" t="inlineStr">
        <is>
          <t>Высокий</t>
        </is>
      </c>
      <c r="G4" s="14" t="inlineStr">
        <is>
          <t>В процессе</t>
        </is>
      </c>
      <c r="J4" s="33" t="inlineStr">
        <is>
          <t>Заказы</t>
        </is>
      </c>
    </row>
    <row r="5">
      <c r="A5" s="14" t="inlineStr">
        <is>
          <t>Подарок</t>
        </is>
      </c>
      <c r="B5" s="14" t="inlineStr">
        <is>
          <t>Обучение</t>
        </is>
      </c>
      <c r="C5" s="14" t="inlineStr">
        <is>
          <t>Дал в долг</t>
        </is>
      </c>
      <c r="D5" s="14" t="inlineStr">
        <is>
          <t>Накопление</t>
        </is>
      </c>
      <c r="E5" s="14" t="inlineStr">
        <is>
          <t>Другое</t>
        </is>
      </c>
      <c r="F5" s="14" t="inlineStr">
        <is>
          <t>Средний</t>
        </is>
      </c>
      <c r="G5" s="14" t="inlineStr">
        <is>
          <t>Готово</t>
        </is>
      </c>
      <c r="J5" s="33" t="inlineStr">
        <is>
          <t>Подарок</t>
        </is>
      </c>
    </row>
    <row r="6">
      <c r="B6" s="14" t="inlineStr">
        <is>
          <t>Кредит</t>
        </is>
      </c>
      <c r="C6" s="14" t="inlineStr">
        <is>
          <t>Вернули долг</t>
        </is>
      </c>
      <c r="D6" s="14" t="inlineStr">
        <is>
          <t>Долг</t>
        </is>
      </c>
      <c r="F6" s="14" t="inlineStr">
        <is>
          <t>Низкий</t>
        </is>
      </c>
      <c r="J6" s="33" t="inlineStr">
        <is>
          <t>Аренда</t>
        </is>
      </c>
    </row>
    <row r="7">
      <c r="B7" s="14" t="inlineStr">
        <is>
          <t>Субподряд</t>
        </is>
      </c>
      <c r="C7" s="14" t="inlineStr">
        <is>
          <t>Пополнение вклада</t>
        </is>
      </c>
      <c r="J7" s="33" t="inlineStr">
        <is>
          <t>Продукты</t>
        </is>
      </c>
    </row>
    <row r="8">
      <c r="B8" s="14" t="inlineStr">
        <is>
          <t>Ипотека</t>
        </is>
      </c>
      <c r="C8" s="14" t="inlineStr">
        <is>
          <t>Снятие со вклада</t>
        </is>
      </c>
      <c r="J8" s="33" t="inlineStr">
        <is>
          <t>Обучение</t>
        </is>
      </c>
    </row>
    <row r="9">
      <c r="B9" s="14" t="inlineStr">
        <is>
          <t>Подарок</t>
        </is>
      </c>
      <c r="J9" s="33" t="inlineStr">
        <is>
          <t>Кредит</t>
        </is>
      </c>
    </row>
    <row r="10">
      <c r="B10" s="14" t="inlineStr">
        <is>
          <t>Аутсорс</t>
        </is>
      </c>
      <c r="J10" s="33" t="inlineStr">
        <is>
          <t>Субподряд</t>
        </is>
      </c>
    </row>
    <row r="11">
      <c r="J11" s="33" t="inlineStr">
        <is>
          <t>Ипотека</t>
        </is>
      </c>
    </row>
    <row r="12">
      <c r="C12" s="64" t="inlineStr">
        <is>
          <t>⚠ Эти категории используются в формулах расчёта долгов и накоплений.
Не изменяйте и не удаляйте их, если хотите корректный учёт.
Если вы не планируете отслеживать долги и накопления — эти категории можно удалить.</t>
        </is>
      </c>
      <c r="J12" s="33" t="inlineStr">
        <is>
          <t>Аутсорс</t>
        </is>
      </c>
    </row>
    <row r="13">
      <c r="J13" s="33" t="inlineStr">
        <is>
          <t>Взял в долг</t>
        </is>
      </c>
    </row>
    <row r="14">
      <c r="J14" s="33" t="inlineStr">
        <is>
          <t>Вернул долг</t>
        </is>
      </c>
    </row>
    <row r="15">
      <c r="J15" s="33" t="inlineStr">
        <is>
          <t>Дал в долг</t>
        </is>
      </c>
    </row>
    <row r="16">
      <c r="J16" s="33" t="inlineStr">
        <is>
          <t>Вернули долг</t>
        </is>
      </c>
    </row>
    <row r="17">
      <c r="J17" s="33" t="inlineStr">
        <is>
          <t>Пополнение вклада</t>
        </is>
      </c>
    </row>
    <row r="18">
      <c r="J18" s="33" t="inlineStr">
        <is>
          <t>Снятие со вклада</t>
        </is>
      </c>
    </row>
  </sheetData>
  <mergeCells count="2"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2026-07-04T21:01:00Z</dcterms:created>
  <dcterms:modified xsi:type="dcterms:W3CDTF">2026-07-04T21:01:00Z</dcterms:modified>
</cp:coreProperties>
</file>